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K.D.K\"/>
    </mc:Choice>
  </mc:AlternateContent>
  <xr:revisionPtr revIDLastSave="0" documentId="13_ncr:1_{007ECB43-3444-4074-BB57-FF68384E1F02}" xr6:coauthVersionLast="47" xr6:coauthVersionMax="47" xr10:uidLastSave="{00000000-0000-0000-0000-000000000000}"/>
  <bookViews>
    <workbookView xWindow="-120" yWindow="-120" windowWidth="20730" windowHeight="11760" activeTab="1" xr2:uid="{474FEFAE-1313-403B-A35D-8E9C7DAD19C7}"/>
  </bookViews>
  <sheets>
    <sheet name="Bricks" sheetId="1" r:id="rId1"/>
    <sheet name="Week Clu" sheetId="3" r:id="rId2"/>
    <sheet name="Amount" sheetId="4" r:id="rId3"/>
    <sheet name="Emp" sheetId="2" r:id="rId4"/>
  </sheets>
  <definedNames>
    <definedName name="_xlcn.WorksheetConnection_BrickscalculatedFormet.xlsxKDK" hidden="1">KDK[]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DK" name="KDK" connection="WorksheetConnection_Bricks calculated Formet.xlsx!KDK"/>
        </x15:modelTables>
      </x15:dataModel>
    </ext>
  </extLst>
</workbook>
</file>

<file path=xl/calcChain.xml><?xml version="1.0" encoding="utf-8"?>
<calcChain xmlns="http://schemas.openxmlformats.org/spreadsheetml/2006/main">
  <c r="F183" i="1" l="1"/>
  <c r="G183" i="1"/>
  <c r="F184" i="1"/>
  <c r="G184" i="1"/>
  <c r="F182" i="1"/>
  <c r="F187" i="1"/>
  <c r="G187" i="1"/>
  <c r="A187" i="1"/>
  <c r="A188" i="1"/>
  <c r="A189" i="1"/>
  <c r="C187" i="1"/>
  <c r="C188" i="1"/>
  <c r="C189" i="1"/>
  <c r="D187" i="1"/>
  <c r="D188" i="1"/>
  <c r="D189" i="1"/>
  <c r="H187" i="1"/>
  <c r="H188" i="1"/>
  <c r="H189" i="1"/>
  <c r="I187" i="1"/>
  <c r="I188" i="1"/>
  <c r="I189" i="1"/>
  <c r="J187" i="1"/>
  <c r="J188" i="1"/>
  <c r="J189" i="1"/>
  <c r="K187" i="1"/>
  <c r="K188" i="1"/>
  <c r="K189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B2" i="4"/>
  <c r="B3" i="4"/>
  <c r="B4" i="4"/>
  <c r="B5" i="4"/>
  <c r="B6" i="4"/>
  <c r="B7" i="4"/>
  <c r="B8" i="4"/>
  <c r="F2" i="4"/>
  <c r="F3" i="4"/>
  <c r="F4" i="4"/>
  <c r="F5" i="4"/>
  <c r="F6" i="4"/>
  <c r="F7" i="4"/>
  <c r="F8" i="4"/>
  <c r="G2" i="4"/>
  <c r="G3" i="4"/>
  <c r="G4" i="4"/>
  <c r="G5" i="4"/>
  <c r="G6" i="4"/>
  <c r="G7" i="4"/>
  <c r="G8" i="4"/>
  <c r="F5" i="1"/>
  <c r="G5" i="1"/>
  <c r="H5" i="1"/>
  <c r="I5" i="1"/>
  <c r="J5" i="1"/>
  <c r="K5" i="1"/>
  <c r="H3" i="4"/>
  <c r="H4" i="4"/>
  <c r="H5" i="4"/>
  <c r="H6" i="4"/>
  <c r="H7" i="4"/>
  <c r="H8" i="4"/>
  <c r="H2" i="4"/>
  <c r="F180" i="1"/>
  <c r="G180" i="1"/>
  <c r="F181" i="1"/>
  <c r="G181" i="1"/>
  <c r="G182" i="1"/>
  <c r="F185" i="1"/>
  <c r="G185" i="1"/>
  <c r="F186" i="1"/>
  <c r="G186" i="1"/>
  <c r="H180" i="1"/>
  <c r="H181" i="1"/>
  <c r="H182" i="1"/>
  <c r="H183" i="1"/>
  <c r="H184" i="1"/>
  <c r="H185" i="1"/>
  <c r="H186" i="1"/>
  <c r="I180" i="1"/>
  <c r="I181" i="1"/>
  <c r="I182" i="1"/>
  <c r="I183" i="1"/>
  <c r="I184" i="1"/>
  <c r="I185" i="1"/>
  <c r="I186" i="1"/>
  <c r="J180" i="1"/>
  <c r="J181" i="1"/>
  <c r="J182" i="1"/>
  <c r="J183" i="1"/>
  <c r="J184" i="1"/>
  <c r="J185" i="1"/>
  <c r="J186" i="1"/>
  <c r="K180" i="1"/>
  <c r="K181" i="1"/>
  <c r="K182" i="1"/>
  <c r="K183" i="1"/>
  <c r="K184" i="1"/>
  <c r="K185" i="1"/>
  <c r="K186" i="1"/>
  <c r="F3" i="1"/>
  <c r="G3" i="1"/>
  <c r="F133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8" i="1"/>
  <c r="G128" i="1"/>
  <c r="F129" i="1"/>
  <c r="G129" i="1"/>
  <c r="F130" i="1"/>
  <c r="G130" i="1"/>
  <c r="F131" i="1"/>
  <c r="G131" i="1"/>
  <c r="F132" i="1"/>
  <c r="G132" i="1"/>
  <c r="G133" i="1"/>
  <c r="F134" i="1"/>
  <c r="G134" i="1"/>
  <c r="F135" i="1"/>
  <c r="G135" i="1"/>
  <c r="F136" i="1"/>
  <c r="G136" i="1"/>
  <c r="F137" i="1"/>
  <c r="G137" i="1"/>
  <c r="F138" i="1"/>
  <c r="G138" i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F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J89" i="1"/>
  <c r="J90" i="1"/>
  <c r="J91" i="1"/>
  <c r="J92" i="1"/>
  <c r="J93" i="1"/>
  <c r="J94" i="1"/>
  <c r="J95" i="1"/>
  <c r="K89" i="1"/>
  <c r="K90" i="1"/>
  <c r="K91" i="1"/>
  <c r="K92" i="1"/>
  <c r="K93" i="1"/>
  <c r="K94" i="1"/>
  <c r="K95" i="1"/>
  <c r="F83" i="1"/>
  <c r="F84" i="1"/>
  <c r="F85" i="1"/>
  <c r="F86" i="1"/>
  <c r="G83" i="1"/>
  <c r="G84" i="1"/>
  <c r="G85" i="1"/>
  <c r="G86" i="1"/>
  <c r="G88" i="1"/>
  <c r="F6" i="1"/>
  <c r="G6" i="1"/>
  <c r="F7" i="1"/>
  <c r="G7" i="1"/>
  <c r="F8" i="1"/>
  <c r="G8" i="1"/>
  <c r="F10" i="1"/>
  <c r="G10" i="1"/>
  <c r="F14" i="1"/>
  <c r="G14" i="1"/>
  <c r="F15" i="1"/>
  <c r="G15" i="1"/>
  <c r="F16" i="1"/>
  <c r="G16" i="1"/>
  <c r="F17" i="1"/>
  <c r="G17" i="1"/>
  <c r="F18" i="1"/>
  <c r="G18" i="1"/>
  <c r="F19" i="1"/>
  <c r="G19" i="1"/>
  <c r="F21" i="1"/>
  <c r="G21" i="1"/>
  <c r="F22" i="1"/>
  <c r="G22" i="1"/>
  <c r="F23" i="1"/>
  <c r="G23" i="1"/>
  <c r="F25" i="1"/>
  <c r="G25" i="1"/>
  <c r="F26" i="1"/>
  <c r="G26" i="1"/>
  <c r="F27" i="1"/>
  <c r="G27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6" i="1"/>
  <c r="G56" i="1"/>
  <c r="F57" i="1"/>
  <c r="G57" i="1"/>
  <c r="F58" i="1"/>
  <c r="G58" i="1"/>
  <c r="F64" i="1"/>
  <c r="G64" i="1"/>
  <c r="F68" i="1"/>
  <c r="G68" i="1"/>
  <c r="F73" i="1"/>
  <c r="G73" i="1"/>
  <c r="F74" i="1"/>
  <c r="G74" i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J82" i="1"/>
  <c r="J83" i="1"/>
  <c r="J84" i="1"/>
  <c r="J85" i="1"/>
  <c r="J86" i="1"/>
  <c r="J87" i="1"/>
  <c r="J88" i="1"/>
  <c r="K82" i="1"/>
  <c r="K83" i="1"/>
  <c r="K84" i="1"/>
  <c r="K85" i="1"/>
  <c r="K86" i="1"/>
  <c r="K87" i="1"/>
  <c r="K88" i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J75" i="1"/>
  <c r="J76" i="1"/>
  <c r="J77" i="1"/>
  <c r="J78" i="1"/>
  <c r="J79" i="1"/>
  <c r="J80" i="1"/>
  <c r="J81" i="1"/>
  <c r="K75" i="1"/>
  <c r="K76" i="1"/>
  <c r="K77" i="1"/>
  <c r="K78" i="1"/>
  <c r="K79" i="1"/>
  <c r="K80" i="1"/>
  <c r="K81" i="1"/>
  <c r="H70" i="1"/>
  <c r="I70" i="1" s="1"/>
  <c r="J70" i="1"/>
  <c r="K70" i="1"/>
  <c r="H62" i="1"/>
  <c r="I62" i="1" s="1"/>
  <c r="J62" i="1"/>
  <c r="K62" i="1"/>
  <c r="H67" i="1"/>
  <c r="I67" i="1" s="1"/>
  <c r="H68" i="1"/>
  <c r="I68" i="1" s="1"/>
  <c r="H69" i="1"/>
  <c r="I69" i="1" s="1"/>
  <c r="H71" i="1"/>
  <c r="I71" i="1" s="1"/>
  <c r="H72" i="1"/>
  <c r="I72" i="1" s="1"/>
  <c r="H73" i="1"/>
  <c r="I73" i="1" s="1"/>
  <c r="H74" i="1"/>
  <c r="I74" i="1" s="1"/>
  <c r="J67" i="1"/>
  <c r="J68" i="1"/>
  <c r="J69" i="1"/>
  <c r="J71" i="1"/>
  <c r="J72" i="1"/>
  <c r="J73" i="1"/>
  <c r="J74" i="1"/>
  <c r="K67" i="1"/>
  <c r="K68" i="1"/>
  <c r="K69" i="1"/>
  <c r="K71" i="1"/>
  <c r="K72" i="1"/>
  <c r="K73" i="1"/>
  <c r="K74" i="1"/>
  <c r="H65" i="1"/>
  <c r="I65" i="1" s="1"/>
  <c r="H66" i="1"/>
  <c r="I66" i="1" s="1"/>
  <c r="J65" i="1"/>
  <c r="J66" i="1"/>
  <c r="K65" i="1"/>
  <c r="K66" i="1"/>
  <c r="H59" i="1"/>
  <c r="I59" i="1" s="1"/>
  <c r="H60" i="1"/>
  <c r="I60" i="1" s="1"/>
  <c r="H61" i="1"/>
  <c r="I61" i="1" s="1"/>
  <c r="H63" i="1"/>
  <c r="I63" i="1" s="1"/>
  <c r="H64" i="1"/>
  <c r="I64" i="1" s="1"/>
  <c r="J59" i="1"/>
  <c r="J60" i="1"/>
  <c r="J61" i="1"/>
  <c r="J63" i="1"/>
  <c r="J64" i="1"/>
  <c r="K59" i="1"/>
  <c r="K60" i="1"/>
  <c r="K61" i="1"/>
  <c r="K63" i="1"/>
  <c r="K64" i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J52" i="1"/>
  <c r="J53" i="1"/>
  <c r="J54" i="1"/>
  <c r="J55" i="1"/>
  <c r="J56" i="1"/>
  <c r="J57" i="1"/>
  <c r="J58" i="1"/>
  <c r="K52" i="1"/>
  <c r="K53" i="1"/>
  <c r="K54" i="1"/>
  <c r="K55" i="1"/>
  <c r="K56" i="1"/>
  <c r="K57" i="1"/>
  <c r="K58" i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J45" i="1"/>
  <c r="J46" i="1"/>
  <c r="J47" i="1"/>
  <c r="J48" i="1"/>
  <c r="J49" i="1"/>
  <c r="J50" i="1"/>
  <c r="J51" i="1"/>
  <c r="K45" i="1"/>
  <c r="K46" i="1"/>
  <c r="K47" i="1"/>
  <c r="K48" i="1"/>
  <c r="K49" i="1"/>
  <c r="K50" i="1"/>
  <c r="K51" i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J38" i="1"/>
  <c r="J39" i="1"/>
  <c r="J40" i="1"/>
  <c r="J41" i="1"/>
  <c r="J42" i="1"/>
  <c r="J43" i="1"/>
  <c r="J44" i="1"/>
  <c r="K38" i="1"/>
  <c r="K39" i="1"/>
  <c r="K40" i="1"/>
  <c r="K41" i="1"/>
  <c r="K42" i="1"/>
  <c r="K43" i="1"/>
  <c r="K44" i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J31" i="1"/>
  <c r="J32" i="1"/>
  <c r="J33" i="1"/>
  <c r="J34" i="1"/>
  <c r="J35" i="1"/>
  <c r="J36" i="1"/>
  <c r="J37" i="1"/>
  <c r="K31" i="1"/>
  <c r="K32" i="1"/>
  <c r="K33" i="1"/>
  <c r="K34" i="1"/>
  <c r="K35" i="1"/>
  <c r="K36" i="1"/>
  <c r="K37" i="1"/>
  <c r="J3" i="1"/>
  <c r="J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K24" i="1"/>
  <c r="K25" i="1"/>
  <c r="K26" i="1"/>
  <c r="K27" i="1"/>
  <c r="K28" i="1"/>
  <c r="K29" i="1"/>
  <c r="K30" i="1"/>
  <c r="H12" i="1"/>
  <c r="I12" i="1" s="1"/>
  <c r="K12" i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K17" i="1"/>
  <c r="K18" i="1"/>
  <c r="K19" i="1"/>
  <c r="K20" i="1"/>
  <c r="K21" i="1"/>
  <c r="K22" i="1"/>
  <c r="K23" i="1"/>
  <c r="H11" i="1"/>
  <c r="I11" i="1" s="1"/>
  <c r="H13" i="1"/>
  <c r="I13" i="1" s="1"/>
  <c r="H14" i="1"/>
  <c r="I14" i="1" s="1"/>
  <c r="H15" i="1"/>
  <c r="I15" i="1" s="1"/>
  <c r="H16" i="1"/>
  <c r="I16" i="1" s="1"/>
  <c r="K11" i="1"/>
  <c r="K13" i="1"/>
  <c r="K14" i="1"/>
  <c r="K15" i="1"/>
  <c r="K16" i="1"/>
  <c r="H6" i="1"/>
  <c r="I6" i="1" s="1"/>
  <c r="H7" i="1"/>
  <c r="I7" i="1" s="1"/>
  <c r="H8" i="1"/>
  <c r="I8" i="1" s="1"/>
  <c r="H9" i="1"/>
  <c r="I9" i="1" s="1"/>
  <c r="H10" i="1"/>
  <c r="I10" i="1" s="1"/>
  <c r="K6" i="1"/>
  <c r="K7" i="1"/>
  <c r="K8" i="1"/>
  <c r="K9" i="1"/>
  <c r="K10" i="1"/>
  <c r="H3" i="1"/>
  <c r="I3" i="1" s="1"/>
  <c r="H4" i="1"/>
  <c r="H2" i="1"/>
  <c r="I2" i="1" s="1"/>
  <c r="C186" i="1" l="1"/>
  <c r="D186" i="1"/>
  <c r="C185" i="1"/>
  <c r="D185" i="1"/>
  <c r="C184" i="1"/>
  <c r="D184" i="1"/>
  <c r="C183" i="1"/>
  <c r="D183" i="1"/>
  <c r="C182" i="1"/>
  <c r="D182" i="1"/>
  <c r="C181" i="1"/>
  <c r="D181" i="1"/>
  <c r="C180" i="1"/>
  <c r="D180" i="1"/>
  <c r="C5" i="3"/>
  <c r="D4" i="4"/>
  <c r="E4" i="4"/>
  <c r="D3" i="4"/>
  <c r="E3" i="4"/>
  <c r="D6" i="4"/>
  <c r="E6" i="4"/>
  <c r="D5" i="4"/>
  <c r="E5" i="4"/>
  <c r="D8" i="4"/>
  <c r="D7" i="4"/>
  <c r="C6" i="3"/>
  <c r="C9" i="3"/>
  <c r="C7" i="3"/>
  <c r="C10" i="3"/>
  <c r="C11" i="3"/>
  <c r="C8" i="3"/>
  <c r="E6" i="3"/>
  <c r="E5" i="3"/>
  <c r="E9" i="3"/>
  <c r="E8" i="3"/>
  <c r="E7" i="3"/>
  <c r="E11" i="3"/>
  <c r="E10" i="3"/>
  <c r="D5" i="3"/>
  <c r="D6" i="3"/>
  <c r="D9" i="3"/>
  <c r="D8" i="3"/>
  <c r="D11" i="3"/>
  <c r="D10" i="3"/>
  <c r="I4" i="1"/>
  <c r="D2" i="4" s="1"/>
  <c r="K2" i="1"/>
  <c r="E7" i="4" s="1"/>
  <c r="K3" i="1"/>
  <c r="E8" i="4" s="1"/>
  <c r="E12" i="3" l="1"/>
  <c r="K4" i="1"/>
  <c r="E2" i="4" s="1"/>
  <c r="D7" i="3"/>
  <c r="D1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9C76C-767F-4B88-BA7A-D436F032E1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9324BD2-5012-4C8D-B34D-C27407EA0F94}" name="WorksheetConnection_Bricks calculated Formet.xlsx!KDK" type="102" refreshedVersion="8" minRefreshableVersion="5">
    <extLst>
      <ext xmlns:x15="http://schemas.microsoft.com/office/spreadsheetml/2010/11/main" uri="{DE250136-89BD-433C-8126-D09CA5730AF9}">
        <x15:connection id="KDK">
          <x15:rangePr sourceName="_xlcn.WorksheetConnection_BrickscalculatedFormet.xlsxKDK"/>
        </x15:connection>
      </ext>
    </extLst>
  </connection>
</connections>
</file>

<file path=xl/sharedStrings.xml><?xml version="1.0" encoding="utf-8"?>
<sst xmlns="http://schemas.openxmlformats.org/spreadsheetml/2006/main" count="244" uniqueCount="39">
  <si>
    <t>Date</t>
  </si>
  <si>
    <t>Day</t>
  </si>
  <si>
    <t>Line</t>
  </si>
  <si>
    <t>Brick</t>
  </si>
  <si>
    <t>Amount of pre brick</t>
  </si>
  <si>
    <t>Total Brick</t>
  </si>
  <si>
    <t>Total Amount</t>
  </si>
  <si>
    <t>Name</t>
  </si>
  <si>
    <t>Ram</t>
  </si>
  <si>
    <t>Settu</t>
  </si>
  <si>
    <t>Emp ID</t>
  </si>
  <si>
    <t>10KDK101</t>
  </si>
  <si>
    <t>10KDK102</t>
  </si>
  <si>
    <t>10KDK103</t>
  </si>
  <si>
    <t>10KDK104</t>
  </si>
  <si>
    <t>10KDK105</t>
  </si>
  <si>
    <t>Phone No</t>
  </si>
  <si>
    <t>Ramseesh</t>
  </si>
  <si>
    <t>Ramesh</t>
  </si>
  <si>
    <t>Dhurai</t>
  </si>
  <si>
    <t>Round Total Brick</t>
  </si>
  <si>
    <t xml:space="preserve">Name </t>
  </si>
  <si>
    <t>Total Bricks</t>
  </si>
  <si>
    <t>Amount</t>
  </si>
  <si>
    <t>Total</t>
  </si>
  <si>
    <t>10KDK106</t>
  </si>
  <si>
    <t>Aakash</t>
  </si>
  <si>
    <t>10KDK107</t>
  </si>
  <si>
    <t>Mahesh</t>
  </si>
  <si>
    <t>Working days</t>
  </si>
  <si>
    <t>No Of Week</t>
  </si>
  <si>
    <t>Week</t>
  </si>
  <si>
    <t>Bricks</t>
  </si>
  <si>
    <t xml:space="preserve">Pay </t>
  </si>
  <si>
    <t>Extra</t>
  </si>
  <si>
    <t>Balance</t>
  </si>
  <si>
    <t>S.No</t>
  </si>
  <si>
    <t>No.Week</t>
  </si>
  <si>
    <t>Ram Charan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</si>
</sst>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3" borderId="6" applyNumberFormat="0" applyAlignment="0" applyProtection="0"/>
    <xf numFmtId="0" fontId="4" fillId="4" borderId="7" applyNumberFormat="0" applyAlignment="0" applyProtection="0"/>
    <xf numFmtId="0" fontId="5" fillId="4" borderId="6" applyNumberFormat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3" borderId="6" xfId="1" applyAlignment="1">
      <alignment horizontal="center" vertical="center"/>
    </xf>
    <xf numFmtId="0" fontId="4" fillId="4" borderId="7" xfId="2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14" fontId="0" fillId="0" borderId="4" xfId="0" applyNumberFormat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horizontal="center" vertical="center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5" fillId="4" borderId="6" xfId="3" applyAlignment="1">
      <alignment horizontal="center" vertical="center"/>
    </xf>
    <xf numFmtId="164" fontId="5" fillId="4" borderId="6" xfId="3" applyNumberFormat="1" applyAlignment="1">
      <alignment horizontal="center" vertical="center"/>
    </xf>
  </cellXfs>
  <cellStyles count="4">
    <cellStyle name="Calculation" xfId="3" builtinId="22"/>
    <cellStyle name="Input" xfId="1" builtinId="20"/>
    <cellStyle name="Normal" xfId="0" builtinId="0"/>
    <cellStyle name="Output" xfId="2" builtinId="21"/>
  </cellStyles>
  <dxfs count="51">
    <dxf>
      <font>
        <color rgb="FF9C0006"/>
      </font>
    </dxf>
    <dxf>
      <font>
        <color rgb="FF9C0006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A8574-EB3E-400F-80FC-DCBA7806C122}" name="KDK" displayName="KDK" ref="A1:K189" headerRowDxfId="50" dataDxfId="48" totalsRowDxfId="46" headerRowBorderDxfId="49" tableBorderDxfId="47">
  <autoFilter ref="A1:K189" xr:uid="{F39A8574-EB3E-400F-80FC-DCBA7806C122}"/>
  <tableColumns count="11">
    <tableColumn id="1" xr3:uid="{9A4DF932-C58A-415C-BCA4-CE6C9FB743F8}" name="S.No" totalsRowLabel="Total" dataDxfId="45">
      <calculatedColumnFormula>ROW()-1</calculatedColumnFormula>
    </tableColumn>
    <tableColumn id="15" xr3:uid="{AD7FA559-54EA-467E-83F6-493F477C1EB4}" name="Date" dataDxfId="44"/>
    <tableColumn id="2" xr3:uid="{D95D8C46-3103-46FB-9474-68A16809CF66}" name="Day" dataDxfId="43" totalsRowDxfId="42">
      <calculatedColumnFormula>TEXT(KDK[[#This Row],[Date]],"dddd")</calculatedColumnFormula>
    </tableColumn>
    <tableColumn id="12" xr3:uid="{25FA1EF4-5DF9-454B-A648-BBBDAC9DD089}" name="No Of Week" dataDxfId="41">
      <calculatedColumnFormula>WEEKNUM(KDK[[#This Row],[Date]],2)</calculatedColumnFormula>
    </tableColumn>
    <tableColumn id="3" xr3:uid="{AF6F7BF1-083C-42FB-A23F-D2057E4E2854}" name="Name" dataDxfId="40" totalsRowDxfId="39"/>
    <tableColumn id="4" xr3:uid="{27DB0F5C-E43F-4763-8533-132E09282073}" name="Brick" dataDxfId="38" totalsRowDxfId="37"/>
    <tableColumn id="5" xr3:uid="{28B9AEB2-43C7-4BAA-BA99-FEF79099A128}" name="Line" dataDxfId="36" totalsRowDxfId="35"/>
    <tableColumn id="6" xr3:uid="{90F9AE81-47E0-41B3-A1F0-234717F63078}" name="Total Brick" totalsRowFunction="sum" dataDxfId="34" totalsRowDxfId="33">
      <calculatedColumnFormula>KDK[[#This Row],[Brick]]*KDK[[#This Row],[Line]]</calculatedColumnFormula>
    </tableColumn>
    <tableColumn id="9" xr3:uid="{BFCA119A-7F8C-48EE-80D2-E8210EEEC891}" name="Round Total Brick" dataDxfId="32">
      <calculatedColumnFormula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calculatedColumnFormula>
    </tableColumn>
    <tableColumn id="7" xr3:uid="{1061AEEA-25F1-497F-A6FD-4C6C673E0EF8}" name="Amount of pre brick" dataDxfId="31" totalsRowDxfId="30">
      <calculatedColumnFormula>_xlfn.IFNA(1.5,0)</calculatedColumnFormula>
    </tableColumn>
    <tableColumn id="8" xr3:uid="{912740DE-1F01-4FDD-9634-E53B231B0FC6}" name="Total Amount" totalsRowFunction="sum" dataDxfId="29" totalsRowDxfId="28">
      <calculatedColumnFormula>KDK[[#This Row],[Round Total Brick]]*KDK[[#This Row],[Amount of pre brick]]</calculatedColumnFormula>
    </tableColumn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25B94C-544D-4214-B70E-EE99A19D0B2C}" name="Table2" displayName="Table2" ref="B4:E12" totalsRowCount="1" headerRowDxfId="27" dataDxfId="26" totalsRowDxfId="25" totalsRowCellStyle="Calculation">
  <autoFilter ref="B4:E11" xr:uid="{6225B94C-544D-4214-B70E-EE99A19D0B2C}"/>
  <tableColumns count="4">
    <tableColumn id="1" xr3:uid="{9A3A0242-D8D7-4613-A749-8DF1F9582F10}" name="Name " totalsRowLabel="Total" dataDxfId="24" totalsRowDxfId="23" totalsRowCellStyle="Calculation"/>
    <tableColumn id="4" xr3:uid="{2DA4206E-B627-4D3B-816E-128CA3148D49}" name="Working days" dataDxfId="22" totalsRowDxfId="21" totalsRowCellStyle="Calculation">
      <calculatedColumnFormula>COUNTIFS(KDK[Name],'Week Clu'!B5,KDK[Line],"&gt;0",KDK[No Of Week],$C$2)</calculatedColumnFormula>
    </tableColumn>
    <tableColumn id="2" xr3:uid="{D973B74C-A73E-4E26-BE58-567ED7ECBEB2}" name="Total Bricks" totalsRowFunction="sum" dataDxfId="20" totalsRowDxfId="19" totalsRowCellStyle="Calculation">
      <calculatedColumnFormula>SUMIFS(KDK[Round Total Brick],KDK[Name],B5,KDK[No Of Week],$C$2)</calculatedColumnFormula>
    </tableColumn>
    <tableColumn id="3" xr3:uid="{3C02D23E-56EB-44E3-AE38-67F1BEFF2CBD}" name="Amount" totalsRowFunction="sum" dataDxfId="18" totalsRowDxfId="17" totalsRowCellStyle="Calculation">
      <calculatedColumnFormula>SUMIFS(KDK[Total Amount],KDK[Name],Table2[[#This Row],[Name ]],KDK[No Of Week],$C$2)</calculatedColumnFormula>
    </tableColumn>
  </tableColumns>
  <tableStyleInfo name="TableStyleLight21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5DC301-2DCC-47A4-BC60-61BAE05C5263}" name="Table4" displayName="Table4" ref="A1:H8" totalsRowShown="0" headerRowDxfId="16" dataDxfId="15">
  <autoFilter ref="A1:H8" xr:uid="{F85DC301-2DCC-47A4-BC60-61BAE05C5263}"/>
  <tableColumns count="8">
    <tableColumn id="1" xr3:uid="{0EA1E54D-1EB9-4A7D-A110-F88F125DCE82}" name="Name" dataDxfId="14"/>
    <tableColumn id="7" xr3:uid="{A25D3EA6-5458-4339-AD93-326DAAEAB1C5}" name="Date" dataDxfId="13">
      <calculatedColumnFormula>TODAY()</calculatedColumnFormula>
    </tableColumn>
    <tableColumn id="8" xr3:uid="{17EE35C5-7D56-4C69-AF15-F4A28F59DFA9}" name="No.Week" dataDxfId="12"/>
    <tableColumn id="2" xr3:uid="{FD0A1C1E-0878-4FD6-A0AE-95057A07F81A}" name="Bricks" dataDxfId="11">
      <calculatedColumnFormula>SUMIFS(KDK[Round Total Brick],KDK[Name],Amount!A2,KDK[No Of Week],Table4[[#This Row],[No.Week]])</calculatedColumnFormula>
    </tableColumn>
    <tableColumn id="3" xr3:uid="{A9AA5727-E504-46DD-A3B2-EA7ABE043A7D}" name="Amount" dataDxfId="10">
      <calculatedColumnFormula>SUMIFS(KDK[Total Amount],KDK[Name],A2,KDK[No Of Week],Table4[[#This Row],[No.Week]])</calculatedColumnFormula>
    </tableColumn>
    <tableColumn id="4" xr3:uid="{B40212A2-B19B-4464-ACDF-19CBB89A5F5A}" name="Pay " dataDxfId="9">
      <calculatedColumnFormula>_xlfn.IFNA(0,"")</calculatedColumnFormula>
    </tableColumn>
    <tableColumn id="5" xr3:uid="{3317CB85-95E7-4EFE-81A6-F7F7BB11272A}" name="Extra" dataDxfId="8">
      <calculatedColumnFormula>_xlfn.IFNA(0,"")</calculatedColumnFormula>
    </tableColumn>
    <tableColumn id="6" xr3:uid="{A4B0FC77-FB40-453F-8981-93ABC8DE7B9C}" name="Balance" dataDxfId="7">
      <calculatedColumnFormula>_xlfn.IFNA(0,"")</calculatedColumnFormula>
    </tableColumn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A48F84-F0C1-468C-98B2-E86B1C8C90D9}" name="Table3" displayName="Table3" ref="A1:C8" totalsRowShown="0" headerRowDxfId="6" dataDxfId="5">
  <autoFilter ref="A1:C8" xr:uid="{BDA48F84-F0C1-468C-98B2-E86B1C8C90D9}"/>
  <tableColumns count="3">
    <tableColumn id="1" xr3:uid="{DE98D4E0-DEDA-44F3-BC42-227260E9A586}" name="Emp ID" dataDxfId="4"/>
    <tableColumn id="2" xr3:uid="{18938D00-A5A4-4B8D-B8CC-37C404BA994A}" name="Name" dataDxfId="3"/>
    <tableColumn id="3" xr3:uid="{CAB0005D-9041-41ED-A061-DCD479BE3FFA}" name="Phone N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C4AD-F4DA-4F5D-8A11-09840CD96B6E}">
  <dimension ref="A1:K198"/>
  <sheetViews>
    <sheetView workbookViewId="0">
      <selection activeCell="B190" sqref="B190"/>
    </sheetView>
  </sheetViews>
  <sheetFormatPr defaultColWidth="11.625" defaultRowHeight="15.75" x14ac:dyDescent="0.25"/>
  <cols>
    <col min="1" max="2" width="11.625" style="19"/>
    <col min="3" max="3" width="11.625" style="2"/>
    <col min="4" max="4" width="11.625" style="2" customWidth="1"/>
    <col min="5" max="5" width="11.625" style="2"/>
    <col min="6" max="7" width="11.625" style="19"/>
    <col min="8" max="16384" width="11.625" style="2"/>
  </cols>
  <sheetData>
    <row r="1" spans="1:11" ht="37.5" customHeight="1" x14ac:dyDescent="0.25">
      <c r="A1" s="16" t="s">
        <v>36</v>
      </c>
      <c r="B1" s="16" t="s">
        <v>0</v>
      </c>
      <c r="C1" s="3" t="s">
        <v>1</v>
      </c>
      <c r="D1" s="3" t="s">
        <v>30</v>
      </c>
      <c r="E1" s="3" t="s">
        <v>7</v>
      </c>
      <c r="F1" s="20" t="s">
        <v>3</v>
      </c>
      <c r="G1" s="20" t="s">
        <v>2</v>
      </c>
      <c r="H1" s="3" t="s">
        <v>5</v>
      </c>
      <c r="I1" s="3" t="s">
        <v>20</v>
      </c>
      <c r="J1" s="3" t="s">
        <v>4</v>
      </c>
      <c r="K1" s="3" t="s">
        <v>6</v>
      </c>
    </row>
    <row r="2" spans="1:11" x14ac:dyDescent="0.25">
      <c r="A2" s="23">
        <f t="shared" ref="A2:A33" si="0">ROW()-1</f>
        <v>1</v>
      </c>
      <c r="B2" s="17">
        <v>45566</v>
      </c>
      <c r="C2" s="4" t="str">
        <f>TEXT(KDK[[#This Row],[Date]],"dddd")</f>
        <v>Tuesday</v>
      </c>
      <c r="D2" s="4">
        <f>WEEKNUM(KDK[[#This Row],[Date]],2)</f>
        <v>40</v>
      </c>
      <c r="E2" s="14" t="s">
        <v>26</v>
      </c>
      <c r="F2" s="14">
        <v>25</v>
      </c>
      <c r="G2" s="14">
        <v>42</v>
      </c>
      <c r="H2" s="4">
        <f>KDK[[#This Row],[Brick]]*KDK[[#This Row],[Line]]</f>
        <v>1050</v>
      </c>
      <c r="I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1050</v>
      </c>
      <c r="J2" s="4">
        <f>_xlfn.IFNA(1.5,0)</f>
        <v>1.5</v>
      </c>
      <c r="K2" s="6">
        <f>KDK[[#This Row],[Round Total Brick]]*KDK[[#This Row],[Amount of pre brick]]</f>
        <v>1575</v>
      </c>
    </row>
    <row r="3" spans="1:11" x14ac:dyDescent="0.25">
      <c r="A3" s="22">
        <f t="shared" si="0"/>
        <v>2</v>
      </c>
      <c r="B3" s="17">
        <v>45566</v>
      </c>
      <c r="C3" s="4" t="str">
        <f>TEXT(KDK[[#This Row],[Date]],"dddd")</f>
        <v>Tuesday</v>
      </c>
      <c r="D3" s="4">
        <f>WEEKNUM(KDK[[#This Row],[Date]],2)</f>
        <v>40</v>
      </c>
      <c r="E3" s="14" t="s">
        <v>28</v>
      </c>
      <c r="F3" s="14">
        <f>_xlfn.IFNA(0,"")</f>
        <v>0</v>
      </c>
      <c r="G3" s="14">
        <f>_xlfn.IFNA(0,"")</f>
        <v>0</v>
      </c>
      <c r="H3" s="4">
        <f>KDK[[#This Row],[Brick]]*KDK[[#This Row],[Line]]</f>
        <v>0</v>
      </c>
      <c r="I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" s="4">
        <f t="shared" ref="J3:J30" si="1">_xlfn.IFNA(1.5,0)</f>
        <v>1.5</v>
      </c>
      <c r="K3" s="6">
        <f>KDK[[#This Row],[Round Total Brick]]*KDK[[#This Row],[Amount of pre brick]]</f>
        <v>0</v>
      </c>
    </row>
    <row r="4" spans="1:11" x14ac:dyDescent="0.25">
      <c r="A4" s="22">
        <f t="shared" si="0"/>
        <v>3</v>
      </c>
      <c r="B4" s="17">
        <v>45566</v>
      </c>
      <c r="C4" s="4" t="str">
        <f>TEXT(KDK[[#This Row],[Date]],"dddd")</f>
        <v>Tuesday</v>
      </c>
      <c r="D4" s="4">
        <f>WEEKNUM(KDK[[#This Row],[Date]],2)</f>
        <v>40</v>
      </c>
      <c r="E4" s="14" t="s">
        <v>17</v>
      </c>
      <c r="F4" s="14">
        <v>25</v>
      </c>
      <c r="G4" s="14">
        <v>45</v>
      </c>
      <c r="H4" s="4">
        <f>KDK[[#This Row],[Brick]]*KDK[[#This Row],[Line]]</f>
        <v>1125</v>
      </c>
      <c r="I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4" s="4">
        <f t="shared" si="1"/>
        <v>1.5</v>
      </c>
      <c r="K4" s="6">
        <f>KDK[[#This Row],[Round Total Brick]]*KDK[[#This Row],[Amount of pre brick]]</f>
        <v>1650</v>
      </c>
    </row>
    <row r="5" spans="1:11" x14ac:dyDescent="0.25">
      <c r="A5" s="22">
        <f t="shared" si="0"/>
        <v>4</v>
      </c>
      <c r="B5" s="17">
        <v>45566</v>
      </c>
      <c r="C5" s="5" t="str">
        <f>TEXT(KDK[[#This Row],[Date]],"dddd")</f>
        <v>Tuesday</v>
      </c>
      <c r="D5" s="5">
        <f>WEEKNUM(KDK[[#This Row],[Date]],2)</f>
        <v>40</v>
      </c>
      <c r="E5" s="15" t="s">
        <v>9</v>
      </c>
      <c r="F5" s="14">
        <f t="shared" ref="F5:G34" si="2">_xlfn.IFNA(0,0)</f>
        <v>0</v>
      </c>
      <c r="G5" s="14">
        <f t="shared" si="2"/>
        <v>0</v>
      </c>
      <c r="H5" s="5">
        <f>KDK[[#This Row],[Brick]]*KDK[[#This Row],[Line]]</f>
        <v>0</v>
      </c>
      <c r="I5" s="5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" s="4">
        <f t="shared" si="1"/>
        <v>1.5</v>
      </c>
      <c r="K5" s="7">
        <f>KDK[[#This Row],[Round Total Brick]]*KDK[[#This Row],[Amount of pre brick]]</f>
        <v>0</v>
      </c>
    </row>
    <row r="6" spans="1:11" x14ac:dyDescent="0.25">
      <c r="A6" s="22">
        <f t="shared" si="0"/>
        <v>5</v>
      </c>
      <c r="B6" s="17">
        <v>45566</v>
      </c>
      <c r="C6" s="4" t="str">
        <f>TEXT(KDK[[#This Row],[Date]],"dddd")</f>
        <v>Tuesday</v>
      </c>
      <c r="D6" s="4">
        <f>WEEKNUM(KDK[[#This Row],[Date]],2)</f>
        <v>40</v>
      </c>
      <c r="E6" s="14" t="s">
        <v>19</v>
      </c>
      <c r="F6" s="14">
        <f t="shared" si="2"/>
        <v>0</v>
      </c>
      <c r="G6" s="14">
        <f t="shared" si="2"/>
        <v>0</v>
      </c>
      <c r="H6" s="4">
        <f>KDK[[#This Row],[Brick]]*KDK[[#This Row],[Line]]</f>
        <v>0</v>
      </c>
      <c r="I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6" s="4">
        <f t="shared" si="1"/>
        <v>1.5</v>
      </c>
      <c r="K6" s="6">
        <f>KDK[[#This Row],[Round Total Brick]]*KDK[[#This Row],[Amount of pre brick]]</f>
        <v>0</v>
      </c>
    </row>
    <row r="7" spans="1:11" x14ac:dyDescent="0.25">
      <c r="A7" s="22">
        <f t="shared" si="0"/>
        <v>6</v>
      </c>
      <c r="B7" s="17">
        <v>45566</v>
      </c>
      <c r="C7" s="4" t="str">
        <f>TEXT(KDK[[#This Row],[Date]],"dddd")</f>
        <v>Tuesday</v>
      </c>
      <c r="D7" s="4">
        <f>WEEKNUM(KDK[[#This Row],[Date]],2)</f>
        <v>40</v>
      </c>
      <c r="E7" s="14" t="s">
        <v>18</v>
      </c>
      <c r="F7" s="14">
        <f t="shared" si="2"/>
        <v>0</v>
      </c>
      <c r="G7" s="14">
        <f t="shared" si="2"/>
        <v>0</v>
      </c>
      <c r="H7" s="4">
        <f>KDK[[#This Row],[Brick]]*KDK[[#This Row],[Line]]</f>
        <v>0</v>
      </c>
      <c r="I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7" s="4">
        <f t="shared" si="1"/>
        <v>1.5</v>
      </c>
      <c r="K7" s="6">
        <f>KDK[[#This Row],[Round Total Brick]]*KDK[[#This Row],[Amount of pre brick]]</f>
        <v>0</v>
      </c>
    </row>
    <row r="8" spans="1:11" x14ac:dyDescent="0.25">
      <c r="A8" s="22">
        <f t="shared" si="0"/>
        <v>7</v>
      </c>
      <c r="B8" s="17">
        <v>45566</v>
      </c>
      <c r="C8" s="4" t="str">
        <f>TEXT(KDK[[#This Row],[Date]],"dddd")</f>
        <v>Tuesday</v>
      </c>
      <c r="D8" s="4">
        <f>WEEKNUM(KDK[[#This Row],[Date]],2)</f>
        <v>40</v>
      </c>
      <c r="E8" s="14" t="s">
        <v>38</v>
      </c>
      <c r="F8" s="14">
        <f t="shared" si="2"/>
        <v>0</v>
      </c>
      <c r="G8" s="14">
        <f t="shared" si="2"/>
        <v>0</v>
      </c>
      <c r="H8" s="4">
        <f>KDK[[#This Row],[Brick]]*KDK[[#This Row],[Line]]</f>
        <v>0</v>
      </c>
      <c r="I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8" s="4">
        <f t="shared" si="1"/>
        <v>1.5</v>
      </c>
      <c r="K8" s="6">
        <f>KDK[[#This Row],[Round Total Brick]]*KDK[[#This Row],[Amount of pre brick]]</f>
        <v>0</v>
      </c>
    </row>
    <row r="9" spans="1:11" x14ac:dyDescent="0.25">
      <c r="A9" s="22">
        <f t="shared" si="0"/>
        <v>8</v>
      </c>
      <c r="B9" s="17">
        <v>45567</v>
      </c>
      <c r="C9" s="4" t="str">
        <f>TEXT(KDK[[#This Row],[Date]],"dddd")</f>
        <v>Wednesday</v>
      </c>
      <c r="D9" s="4">
        <f>WEEKNUM(KDK[[#This Row],[Date]],2)</f>
        <v>40</v>
      </c>
      <c r="E9" s="14" t="s">
        <v>26</v>
      </c>
      <c r="F9" s="14">
        <v>27</v>
      </c>
      <c r="G9" s="14">
        <v>42</v>
      </c>
      <c r="H9" s="4">
        <f>KDK[[#This Row],[Brick]]*KDK[[#This Row],[Line]]</f>
        <v>1134</v>
      </c>
      <c r="I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9" s="4">
        <f t="shared" si="1"/>
        <v>1.5</v>
      </c>
      <c r="K9" s="6">
        <f>KDK[[#This Row],[Round Total Brick]]*KDK[[#This Row],[Amount of pre brick]]</f>
        <v>1650</v>
      </c>
    </row>
    <row r="10" spans="1:11" x14ac:dyDescent="0.25">
      <c r="A10" s="22">
        <f t="shared" si="0"/>
        <v>9</v>
      </c>
      <c r="B10" s="17">
        <v>45567</v>
      </c>
      <c r="C10" s="4" t="str">
        <f>TEXT(KDK[[#This Row],[Date]],"dddd")</f>
        <v>Wednesday</v>
      </c>
      <c r="D10" s="4">
        <f>WEEKNUM(KDK[[#This Row],[Date]],2)</f>
        <v>40</v>
      </c>
      <c r="E10" s="14" t="s">
        <v>28</v>
      </c>
      <c r="F10" s="14">
        <f t="shared" si="2"/>
        <v>0</v>
      </c>
      <c r="G10" s="14">
        <f t="shared" si="2"/>
        <v>0</v>
      </c>
      <c r="H10" s="4">
        <f>KDK[[#This Row],[Brick]]*KDK[[#This Row],[Line]]</f>
        <v>0</v>
      </c>
      <c r="I1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" s="4">
        <f t="shared" si="1"/>
        <v>1.5</v>
      </c>
      <c r="K10" s="6">
        <f>KDK[[#This Row],[Round Total Brick]]*KDK[[#This Row],[Amount of pre brick]]</f>
        <v>0</v>
      </c>
    </row>
    <row r="11" spans="1:11" x14ac:dyDescent="0.25">
      <c r="A11" s="22">
        <f t="shared" si="0"/>
        <v>10</v>
      </c>
      <c r="B11" s="17">
        <v>45567</v>
      </c>
      <c r="C11" s="4" t="str">
        <f>TEXT(KDK[[#This Row],[Date]],"dddd")</f>
        <v>Wednesday</v>
      </c>
      <c r="D11" s="4">
        <f>WEEKNUM(KDK[[#This Row],[Date]],2)</f>
        <v>40</v>
      </c>
      <c r="E11" s="14" t="s">
        <v>17</v>
      </c>
      <c r="F11" s="14">
        <v>26</v>
      </c>
      <c r="G11" s="14">
        <v>39</v>
      </c>
      <c r="H11" s="4">
        <f>KDK[[#This Row],[Brick]]*KDK[[#This Row],[Line]]</f>
        <v>1014</v>
      </c>
      <c r="I1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1000</v>
      </c>
      <c r="J11" s="4">
        <f t="shared" si="1"/>
        <v>1.5</v>
      </c>
      <c r="K11" s="6">
        <f>KDK[[#This Row],[Round Total Brick]]*KDK[[#This Row],[Amount of pre brick]]</f>
        <v>1500</v>
      </c>
    </row>
    <row r="12" spans="1:11" x14ac:dyDescent="0.25">
      <c r="A12" s="22">
        <f t="shared" si="0"/>
        <v>11</v>
      </c>
      <c r="B12" s="17">
        <v>45567</v>
      </c>
      <c r="C12" s="4" t="str">
        <f>TEXT(KDK[[#This Row],[Date]],"dddd")</f>
        <v>Wednesday</v>
      </c>
      <c r="D12" s="5">
        <f>WEEKNUM(KDK[[#This Row],[Date]],2)</f>
        <v>40</v>
      </c>
      <c r="E12" s="15" t="s">
        <v>9</v>
      </c>
      <c r="F12" s="14">
        <v>25</v>
      </c>
      <c r="G12" s="14">
        <v>27</v>
      </c>
      <c r="H12" s="4">
        <f>KDK[[#This Row],[Brick]]*KDK[[#This Row],[Line]]</f>
        <v>675</v>
      </c>
      <c r="I1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650</v>
      </c>
      <c r="J12" s="4">
        <f t="shared" si="1"/>
        <v>1.5</v>
      </c>
      <c r="K12" s="6">
        <f>KDK[[#This Row],[Round Total Brick]]*KDK[[#This Row],[Amount of pre brick]]</f>
        <v>975</v>
      </c>
    </row>
    <row r="13" spans="1:11" x14ac:dyDescent="0.25">
      <c r="A13" s="22">
        <f t="shared" si="0"/>
        <v>12</v>
      </c>
      <c r="B13" s="17">
        <v>45567</v>
      </c>
      <c r="C13" s="4" t="str">
        <f>TEXT(KDK[[#This Row],[Date]],"dddd")</f>
        <v>Wednesday</v>
      </c>
      <c r="D13" s="5">
        <f>WEEKNUM(KDK[[#This Row],[Date]],2)</f>
        <v>40</v>
      </c>
      <c r="E13" s="15" t="s">
        <v>9</v>
      </c>
      <c r="F13" s="14">
        <v>28</v>
      </c>
      <c r="G13" s="14">
        <v>25</v>
      </c>
      <c r="H13" s="4">
        <f>KDK[[#This Row],[Brick]]*KDK[[#This Row],[Line]]</f>
        <v>700</v>
      </c>
      <c r="I1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700</v>
      </c>
      <c r="J13" s="4">
        <f t="shared" si="1"/>
        <v>1.5</v>
      </c>
      <c r="K13" s="6">
        <f>KDK[[#This Row],[Round Total Brick]]*KDK[[#This Row],[Amount of pre brick]]</f>
        <v>1050</v>
      </c>
    </row>
    <row r="14" spans="1:11" x14ac:dyDescent="0.25">
      <c r="A14" s="22">
        <f t="shared" si="0"/>
        <v>13</v>
      </c>
      <c r="B14" s="17">
        <v>45567</v>
      </c>
      <c r="C14" s="4" t="str">
        <f>TEXT(KDK[[#This Row],[Date]],"dddd")</f>
        <v>Wednesday</v>
      </c>
      <c r="D14" s="4">
        <f>WEEKNUM(KDK[[#This Row],[Date]],2)</f>
        <v>40</v>
      </c>
      <c r="E14" s="14" t="s">
        <v>19</v>
      </c>
      <c r="F14" s="14">
        <f t="shared" si="2"/>
        <v>0</v>
      </c>
      <c r="G14" s="14">
        <f t="shared" si="2"/>
        <v>0</v>
      </c>
      <c r="H14" s="4">
        <f>KDK[[#This Row],[Brick]]*KDK[[#This Row],[Line]]</f>
        <v>0</v>
      </c>
      <c r="I1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" s="4">
        <f t="shared" si="1"/>
        <v>1.5</v>
      </c>
      <c r="K14" s="6">
        <f>KDK[[#This Row],[Round Total Brick]]*KDK[[#This Row],[Amount of pre brick]]</f>
        <v>0</v>
      </c>
    </row>
    <row r="15" spans="1:11" x14ac:dyDescent="0.25">
      <c r="A15" s="22">
        <f t="shared" si="0"/>
        <v>14</v>
      </c>
      <c r="B15" s="17">
        <v>45567</v>
      </c>
      <c r="C15" s="4" t="str">
        <f>TEXT(KDK[[#This Row],[Date]],"dddd")</f>
        <v>Wednesday</v>
      </c>
      <c r="D15" s="4">
        <f>WEEKNUM(KDK[[#This Row],[Date]],2)</f>
        <v>40</v>
      </c>
      <c r="E15" s="14" t="s">
        <v>18</v>
      </c>
      <c r="F15" s="14">
        <f t="shared" si="2"/>
        <v>0</v>
      </c>
      <c r="G15" s="14">
        <f t="shared" si="2"/>
        <v>0</v>
      </c>
      <c r="H15" s="4">
        <f>KDK[[#This Row],[Brick]]*KDK[[#This Row],[Line]]</f>
        <v>0</v>
      </c>
      <c r="I1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" s="4">
        <f t="shared" si="1"/>
        <v>1.5</v>
      </c>
      <c r="K15" s="6">
        <f>KDK[[#This Row],[Round Total Brick]]*KDK[[#This Row],[Amount of pre brick]]</f>
        <v>0</v>
      </c>
    </row>
    <row r="16" spans="1:11" x14ac:dyDescent="0.25">
      <c r="A16" s="22">
        <f t="shared" si="0"/>
        <v>15</v>
      </c>
      <c r="B16" s="17">
        <v>45567</v>
      </c>
      <c r="C16" s="4" t="str">
        <f>TEXT(KDK[[#This Row],[Date]],"dddd")</f>
        <v>Wednesday</v>
      </c>
      <c r="D16" s="4">
        <f>WEEKNUM(KDK[[#This Row],[Date]],2)</f>
        <v>40</v>
      </c>
      <c r="E16" s="14" t="s">
        <v>38</v>
      </c>
      <c r="F16" s="14">
        <f t="shared" si="2"/>
        <v>0</v>
      </c>
      <c r="G16" s="14">
        <f t="shared" si="2"/>
        <v>0</v>
      </c>
      <c r="H16" s="4">
        <f>KDK[[#This Row],[Brick]]*KDK[[#This Row],[Line]]</f>
        <v>0</v>
      </c>
      <c r="I1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" s="4">
        <f t="shared" si="1"/>
        <v>1.5</v>
      </c>
      <c r="K16" s="6">
        <f>KDK[[#This Row],[Round Total Brick]]*KDK[[#This Row],[Amount of pre brick]]</f>
        <v>0</v>
      </c>
    </row>
    <row r="17" spans="1:11" x14ac:dyDescent="0.25">
      <c r="A17" s="22">
        <f t="shared" si="0"/>
        <v>16</v>
      </c>
      <c r="B17" s="17">
        <v>45568</v>
      </c>
      <c r="C17" s="4" t="str">
        <f>TEXT(KDK[[#This Row],[Date]],"dddd")</f>
        <v>Thursday</v>
      </c>
      <c r="D17" s="4">
        <f>WEEKNUM(KDK[[#This Row],[Date]],2)</f>
        <v>40</v>
      </c>
      <c r="E17" s="14" t="s">
        <v>26</v>
      </c>
      <c r="F17" s="14">
        <f t="shared" si="2"/>
        <v>0</v>
      </c>
      <c r="G17" s="14">
        <f t="shared" si="2"/>
        <v>0</v>
      </c>
      <c r="H17" s="4">
        <f>KDK[[#This Row],[Brick]]*KDK[[#This Row],[Line]]</f>
        <v>0</v>
      </c>
      <c r="I1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" s="4">
        <f t="shared" si="1"/>
        <v>1.5</v>
      </c>
      <c r="K17" s="6">
        <f>KDK[[#This Row],[Round Total Brick]]*KDK[[#This Row],[Amount of pre brick]]</f>
        <v>0</v>
      </c>
    </row>
    <row r="18" spans="1:11" x14ac:dyDescent="0.25">
      <c r="A18" s="22">
        <f t="shared" si="0"/>
        <v>17</v>
      </c>
      <c r="B18" s="17">
        <v>45568</v>
      </c>
      <c r="C18" s="4" t="str">
        <f>TEXT(KDK[[#This Row],[Date]],"dddd")</f>
        <v>Thursday</v>
      </c>
      <c r="D18" s="4">
        <f>WEEKNUM(KDK[[#This Row],[Date]],2)</f>
        <v>40</v>
      </c>
      <c r="E18" s="14" t="s">
        <v>28</v>
      </c>
      <c r="F18" s="14">
        <f t="shared" si="2"/>
        <v>0</v>
      </c>
      <c r="G18" s="14">
        <f t="shared" si="2"/>
        <v>0</v>
      </c>
      <c r="H18" s="4">
        <f>KDK[[#This Row],[Brick]]*KDK[[#This Row],[Line]]</f>
        <v>0</v>
      </c>
      <c r="I1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" s="4">
        <f t="shared" si="1"/>
        <v>1.5</v>
      </c>
      <c r="K18" s="6">
        <f>KDK[[#This Row],[Round Total Brick]]*KDK[[#This Row],[Amount of pre brick]]</f>
        <v>0</v>
      </c>
    </row>
    <row r="19" spans="1:11" x14ac:dyDescent="0.25">
      <c r="A19" s="22">
        <f t="shared" si="0"/>
        <v>18</v>
      </c>
      <c r="B19" s="17">
        <v>45568</v>
      </c>
      <c r="C19" s="4" t="str">
        <f>TEXT(KDK[[#This Row],[Date]],"dddd")</f>
        <v>Thursday</v>
      </c>
      <c r="D19" s="4">
        <f>WEEKNUM(KDK[[#This Row],[Date]],2)</f>
        <v>40</v>
      </c>
      <c r="E19" s="14" t="s">
        <v>17</v>
      </c>
      <c r="F19" s="14">
        <f t="shared" si="2"/>
        <v>0</v>
      </c>
      <c r="G19" s="14">
        <f t="shared" si="2"/>
        <v>0</v>
      </c>
      <c r="H19" s="4">
        <f>KDK[[#This Row],[Brick]]*KDK[[#This Row],[Line]]</f>
        <v>0</v>
      </c>
      <c r="I1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9" s="4">
        <f t="shared" si="1"/>
        <v>1.5</v>
      </c>
      <c r="K19" s="6">
        <f>KDK[[#This Row],[Round Total Brick]]*KDK[[#This Row],[Amount of pre brick]]</f>
        <v>0</v>
      </c>
    </row>
    <row r="20" spans="1:11" x14ac:dyDescent="0.25">
      <c r="A20" s="22">
        <f t="shared" si="0"/>
        <v>19</v>
      </c>
      <c r="B20" s="17">
        <v>45568</v>
      </c>
      <c r="C20" s="4" t="str">
        <f>TEXT(KDK[[#This Row],[Date]],"dddd")</f>
        <v>Thursday</v>
      </c>
      <c r="D20" s="5">
        <f>WEEKNUM(KDK[[#This Row],[Date]],2)</f>
        <v>40</v>
      </c>
      <c r="E20" s="15" t="s">
        <v>9</v>
      </c>
      <c r="F20" s="14">
        <v>29</v>
      </c>
      <c r="G20" s="14">
        <v>53</v>
      </c>
      <c r="H20" s="4">
        <f>KDK[[#This Row],[Brick]]*KDK[[#This Row],[Line]]</f>
        <v>1537</v>
      </c>
      <c r="I2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1500</v>
      </c>
      <c r="J20" s="4">
        <f t="shared" si="1"/>
        <v>1.5</v>
      </c>
      <c r="K20" s="6">
        <f>KDK[[#This Row],[Round Total Brick]]*KDK[[#This Row],[Amount of pre brick]]</f>
        <v>2250</v>
      </c>
    </row>
    <row r="21" spans="1:11" x14ac:dyDescent="0.25">
      <c r="A21" s="22">
        <f t="shared" si="0"/>
        <v>20</v>
      </c>
      <c r="B21" s="17">
        <v>45568</v>
      </c>
      <c r="C21" s="4" t="str">
        <f>TEXT(KDK[[#This Row],[Date]],"dddd")</f>
        <v>Thursday</v>
      </c>
      <c r="D21" s="4">
        <f>WEEKNUM(KDK[[#This Row],[Date]],2)</f>
        <v>40</v>
      </c>
      <c r="E21" s="14" t="s">
        <v>19</v>
      </c>
      <c r="F21" s="14">
        <f t="shared" si="2"/>
        <v>0</v>
      </c>
      <c r="G21" s="14">
        <f t="shared" si="2"/>
        <v>0</v>
      </c>
      <c r="H21" s="4">
        <f>KDK[[#This Row],[Brick]]*KDK[[#This Row],[Line]]</f>
        <v>0</v>
      </c>
      <c r="I2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21" s="4">
        <f t="shared" si="1"/>
        <v>1.5</v>
      </c>
      <c r="K21" s="6">
        <f>KDK[[#This Row],[Round Total Brick]]*KDK[[#This Row],[Amount of pre brick]]</f>
        <v>0</v>
      </c>
    </row>
    <row r="22" spans="1:11" x14ac:dyDescent="0.25">
      <c r="A22" s="22">
        <f t="shared" si="0"/>
        <v>21</v>
      </c>
      <c r="B22" s="17">
        <v>45568</v>
      </c>
      <c r="C22" s="4" t="str">
        <f>TEXT(KDK[[#This Row],[Date]],"dddd")</f>
        <v>Thursday</v>
      </c>
      <c r="D22" s="4">
        <f>WEEKNUM(KDK[[#This Row],[Date]],2)</f>
        <v>40</v>
      </c>
      <c r="E22" s="14" t="s">
        <v>18</v>
      </c>
      <c r="F22" s="14">
        <f t="shared" si="2"/>
        <v>0</v>
      </c>
      <c r="G22" s="14">
        <f t="shared" si="2"/>
        <v>0</v>
      </c>
      <c r="H22" s="4">
        <f>KDK[[#This Row],[Brick]]*KDK[[#This Row],[Line]]</f>
        <v>0</v>
      </c>
      <c r="I2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22" s="4">
        <f t="shared" si="1"/>
        <v>1.5</v>
      </c>
      <c r="K22" s="6">
        <f>KDK[[#This Row],[Round Total Brick]]*KDK[[#This Row],[Amount of pre brick]]</f>
        <v>0</v>
      </c>
    </row>
    <row r="23" spans="1:11" x14ac:dyDescent="0.25">
      <c r="A23" s="22">
        <f t="shared" si="0"/>
        <v>22</v>
      </c>
      <c r="B23" s="17">
        <v>45568</v>
      </c>
      <c r="C23" s="4" t="str">
        <f>TEXT(KDK[[#This Row],[Date]],"dddd")</f>
        <v>Thursday</v>
      </c>
      <c r="D23" s="4">
        <f>WEEKNUM(KDK[[#This Row],[Date]],2)</f>
        <v>40</v>
      </c>
      <c r="E23" s="14" t="s">
        <v>38</v>
      </c>
      <c r="F23" s="14">
        <f t="shared" si="2"/>
        <v>0</v>
      </c>
      <c r="G23" s="14">
        <f t="shared" si="2"/>
        <v>0</v>
      </c>
      <c r="H23" s="4">
        <f>KDK[[#This Row],[Brick]]*KDK[[#This Row],[Line]]</f>
        <v>0</v>
      </c>
      <c r="I2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23" s="4">
        <f t="shared" si="1"/>
        <v>1.5</v>
      </c>
      <c r="K23" s="6">
        <f>KDK[[#This Row],[Round Total Brick]]*KDK[[#This Row],[Amount of pre brick]]</f>
        <v>0</v>
      </c>
    </row>
    <row r="24" spans="1:11" x14ac:dyDescent="0.25">
      <c r="A24" s="22">
        <f t="shared" si="0"/>
        <v>23</v>
      </c>
      <c r="B24" s="17">
        <v>45569</v>
      </c>
      <c r="C24" s="4" t="str">
        <f>TEXT(KDK[[#This Row],[Date]],"dddd")</f>
        <v>Friday</v>
      </c>
      <c r="D24" s="4">
        <f>WEEKNUM(KDK[[#This Row],[Date]],2)</f>
        <v>40</v>
      </c>
      <c r="E24" s="14" t="s">
        <v>26</v>
      </c>
      <c r="F24" s="14">
        <v>26</v>
      </c>
      <c r="G24" s="14">
        <v>43</v>
      </c>
      <c r="H24" s="4">
        <f>KDK[[#This Row],[Brick]]*KDK[[#This Row],[Line]]</f>
        <v>1118</v>
      </c>
      <c r="I2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24" s="4">
        <f t="shared" si="1"/>
        <v>1.5</v>
      </c>
      <c r="K24" s="6">
        <f>KDK[[#This Row],[Round Total Brick]]*KDK[[#This Row],[Amount of pre brick]]</f>
        <v>1650</v>
      </c>
    </row>
    <row r="25" spans="1:11" x14ac:dyDescent="0.25">
      <c r="A25" s="22">
        <f t="shared" si="0"/>
        <v>24</v>
      </c>
      <c r="B25" s="17">
        <v>45569</v>
      </c>
      <c r="C25" s="4" t="str">
        <f>TEXT(KDK[[#This Row],[Date]],"dddd")</f>
        <v>Friday</v>
      </c>
      <c r="D25" s="4">
        <f>WEEKNUM(KDK[[#This Row],[Date]],2)</f>
        <v>40</v>
      </c>
      <c r="E25" s="14" t="s">
        <v>28</v>
      </c>
      <c r="F25" s="14">
        <f t="shared" si="2"/>
        <v>0</v>
      </c>
      <c r="G25" s="14">
        <f t="shared" si="2"/>
        <v>0</v>
      </c>
      <c r="H25" s="4">
        <f>KDK[[#This Row],[Brick]]*KDK[[#This Row],[Line]]</f>
        <v>0</v>
      </c>
      <c r="I2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25" s="4">
        <f t="shared" si="1"/>
        <v>1.5</v>
      </c>
      <c r="K25" s="6">
        <f>KDK[[#This Row],[Round Total Brick]]*KDK[[#This Row],[Amount of pre brick]]</f>
        <v>0</v>
      </c>
    </row>
    <row r="26" spans="1:11" x14ac:dyDescent="0.25">
      <c r="A26" s="22">
        <f t="shared" si="0"/>
        <v>25</v>
      </c>
      <c r="B26" s="17">
        <v>45569</v>
      </c>
      <c r="C26" s="4" t="str">
        <f>TEXT(KDK[[#This Row],[Date]],"dddd")</f>
        <v>Friday</v>
      </c>
      <c r="D26" s="4">
        <f>WEEKNUM(KDK[[#This Row],[Date]],2)</f>
        <v>40</v>
      </c>
      <c r="E26" s="14" t="s">
        <v>17</v>
      </c>
      <c r="F26" s="14">
        <f t="shared" si="2"/>
        <v>0</v>
      </c>
      <c r="G26" s="14">
        <f t="shared" si="2"/>
        <v>0</v>
      </c>
      <c r="H26" s="4">
        <f>KDK[[#This Row],[Brick]]*KDK[[#This Row],[Line]]</f>
        <v>0</v>
      </c>
      <c r="I2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26" s="4">
        <f t="shared" si="1"/>
        <v>1.5</v>
      </c>
      <c r="K26" s="6">
        <f>KDK[[#This Row],[Round Total Brick]]*KDK[[#This Row],[Amount of pre brick]]</f>
        <v>0</v>
      </c>
    </row>
    <row r="27" spans="1:11" x14ac:dyDescent="0.25">
      <c r="A27" s="22">
        <f t="shared" si="0"/>
        <v>26</v>
      </c>
      <c r="B27" s="17">
        <v>45569</v>
      </c>
      <c r="C27" s="4" t="str">
        <f>TEXT(KDK[[#This Row],[Date]],"dddd")</f>
        <v>Friday</v>
      </c>
      <c r="D27" s="5">
        <f>WEEKNUM(KDK[[#This Row],[Date]],2)</f>
        <v>40</v>
      </c>
      <c r="E27" s="15" t="s">
        <v>9</v>
      </c>
      <c r="F27" s="14">
        <f t="shared" si="2"/>
        <v>0</v>
      </c>
      <c r="G27" s="14">
        <f t="shared" si="2"/>
        <v>0</v>
      </c>
      <c r="H27" s="4">
        <f>KDK[[#This Row],[Brick]]*KDK[[#This Row],[Line]]</f>
        <v>0</v>
      </c>
      <c r="I2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27" s="4">
        <f t="shared" si="1"/>
        <v>1.5</v>
      </c>
      <c r="K27" s="6">
        <f>KDK[[#This Row],[Round Total Brick]]*KDK[[#This Row],[Amount of pre brick]]</f>
        <v>0</v>
      </c>
    </row>
    <row r="28" spans="1:11" x14ac:dyDescent="0.25">
      <c r="A28" s="22">
        <f t="shared" si="0"/>
        <v>27</v>
      </c>
      <c r="B28" s="17">
        <v>45569</v>
      </c>
      <c r="C28" s="4" t="str">
        <f>TEXT(KDK[[#This Row],[Date]],"dddd")</f>
        <v>Friday</v>
      </c>
      <c r="D28" s="4">
        <f>WEEKNUM(KDK[[#This Row],[Date]],2)</f>
        <v>40</v>
      </c>
      <c r="E28" s="14" t="s">
        <v>19</v>
      </c>
      <c r="F28" s="14">
        <v>28</v>
      </c>
      <c r="G28" s="14">
        <v>45</v>
      </c>
      <c r="H28" s="4">
        <f>KDK[[#This Row],[Brick]]*KDK[[#This Row],[Line]]</f>
        <v>1260</v>
      </c>
      <c r="I2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1250</v>
      </c>
      <c r="J28" s="4">
        <f t="shared" si="1"/>
        <v>1.5</v>
      </c>
      <c r="K28" s="6">
        <f>KDK[[#This Row],[Round Total Brick]]*KDK[[#This Row],[Amount of pre brick]]</f>
        <v>1875</v>
      </c>
    </row>
    <row r="29" spans="1:11" x14ac:dyDescent="0.25">
      <c r="A29" s="22">
        <f t="shared" si="0"/>
        <v>28</v>
      </c>
      <c r="B29" s="17">
        <v>45569</v>
      </c>
      <c r="C29" s="4" t="str">
        <f>TEXT(KDK[[#This Row],[Date]],"dddd")</f>
        <v>Friday</v>
      </c>
      <c r="D29" s="4">
        <f>WEEKNUM(KDK[[#This Row],[Date]],2)</f>
        <v>40</v>
      </c>
      <c r="E29" s="14" t="s">
        <v>18</v>
      </c>
      <c r="F29" s="14">
        <f t="shared" si="2"/>
        <v>0</v>
      </c>
      <c r="G29" s="14">
        <f t="shared" si="2"/>
        <v>0</v>
      </c>
      <c r="H29" s="4">
        <f>KDK[[#This Row],[Brick]]*KDK[[#This Row],[Line]]</f>
        <v>0</v>
      </c>
      <c r="I2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29" s="4">
        <f t="shared" si="1"/>
        <v>1.5</v>
      </c>
      <c r="K29" s="6">
        <f>KDK[[#This Row],[Round Total Brick]]*KDK[[#This Row],[Amount of pre brick]]</f>
        <v>0</v>
      </c>
    </row>
    <row r="30" spans="1:11" x14ac:dyDescent="0.25">
      <c r="A30" s="22">
        <f t="shared" si="0"/>
        <v>29</v>
      </c>
      <c r="B30" s="17">
        <v>45569</v>
      </c>
      <c r="C30" s="4" t="str">
        <f>TEXT(KDK[[#This Row],[Date]],"dddd")</f>
        <v>Friday</v>
      </c>
      <c r="D30" s="4">
        <f>WEEKNUM(KDK[[#This Row],[Date]],2)</f>
        <v>40</v>
      </c>
      <c r="E30" s="14" t="s">
        <v>38</v>
      </c>
      <c r="F30" s="14">
        <f t="shared" si="2"/>
        <v>0</v>
      </c>
      <c r="G30" s="14">
        <f t="shared" si="2"/>
        <v>0</v>
      </c>
      <c r="H30" s="4">
        <f>KDK[[#This Row],[Brick]]*KDK[[#This Row],[Line]]</f>
        <v>0</v>
      </c>
      <c r="I3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0" s="4">
        <f t="shared" si="1"/>
        <v>1.5</v>
      </c>
      <c r="K30" s="6">
        <f>KDK[[#This Row],[Round Total Brick]]*KDK[[#This Row],[Amount of pre brick]]</f>
        <v>0</v>
      </c>
    </row>
    <row r="31" spans="1:11" x14ac:dyDescent="0.25">
      <c r="A31" s="22">
        <f t="shared" si="0"/>
        <v>30</v>
      </c>
      <c r="B31" s="17">
        <v>45570</v>
      </c>
      <c r="C31" s="4" t="str">
        <f>TEXT(KDK[[#This Row],[Date]],"dddd")</f>
        <v>Saturday</v>
      </c>
      <c r="D31" s="4">
        <f>WEEKNUM(KDK[[#This Row],[Date]],2)</f>
        <v>40</v>
      </c>
      <c r="E31" s="14" t="s">
        <v>26</v>
      </c>
      <c r="F31" s="14">
        <f t="shared" si="2"/>
        <v>0</v>
      </c>
      <c r="G31" s="14">
        <f t="shared" si="2"/>
        <v>0</v>
      </c>
      <c r="H31" s="4">
        <f>KDK[[#This Row],[Brick]]*KDK[[#This Row],[Line]]</f>
        <v>0</v>
      </c>
      <c r="I3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1" s="4">
        <f t="shared" ref="J31:J37" si="3">_xlfn.IFNA(1.5,0)</f>
        <v>1.5</v>
      </c>
      <c r="K31" s="6">
        <f>KDK[[#This Row],[Round Total Brick]]*KDK[[#This Row],[Amount of pre brick]]</f>
        <v>0</v>
      </c>
    </row>
    <row r="32" spans="1:11" x14ac:dyDescent="0.25">
      <c r="A32" s="22">
        <f t="shared" si="0"/>
        <v>31</v>
      </c>
      <c r="B32" s="17">
        <v>45570</v>
      </c>
      <c r="C32" s="4" t="str">
        <f>TEXT(KDK[[#This Row],[Date]],"dddd")</f>
        <v>Saturday</v>
      </c>
      <c r="D32" s="4">
        <f>WEEKNUM(KDK[[#This Row],[Date]],2)</f>
        <v>40</v>
      </c>
      <c r="E32" s="14" t="s">
        <v>28</v>
      </c>
      <c r="F32" s="14">
        <f t="shared" si="2"/>
        <v>0</v>
      </c>
      <c r="G32" s="14">
        <f t="shared" si="2"/>
        <v>0</v>
      </c>
      <c r="H32" s="4">
        <f>KDK[[#This Row],[Brick]]*KDK[[#This Row],[Line]]</f>
        <v>0</v>
      </c>
      <c r="I3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2" s="4">
        <f t="shared" si="3"/>
        <v>1.5</v>
      </c>
      <c r="K32" s="6">
        <f>KDK[[#This Row],[Round Total Brick]]*KDK[[#This Row],[Amount of pre brick]]</f>
        <v>0</v>
      </c>
    </row>
    <row r="33" spans="1:11" x14ac:dyDescent="0.25">
      <c r="A33" s="22">
        <f t="shared" si="0"/>
        <v>32</v>
      </c>
      <c r="B33" s="17">
        <v>45570</v>
      </c>
      <c r="C33" s="4" t="str">
        <f>TEXT(KDK[[#This Row],[Date]],"dddd")</f>
        <v>Saturday</v>
      </c>
      <c r="D33" s="4">
        <f>WEEKNUM(KDK[[#This Row],[Date]],2)</f>
        <v>40</v>
      </c>
      <c r="E33" s="14" t="s">
        <v>17</v>
      </c>
      <c r="F33" s="14">
        <f t="shared" si="2"/>
        <v>0</v>
      </c>
      <c r="G33" s="14">
        <f t="shared" si="2"/>
        <v>0</v>
      </c>
      <c r="H33" s="4">
        <f>KDK[[#This Row],[Brick]]*KDK[[#This Row],[Line]]</f>
        <v>0</v>
      </c>
      <c r="I3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3" s="4">
        <f t="shared" si="3"/>
        <v>1.5</v>
      </c>
      <c r="K33" s="6">
        <f>KDK[[#This Row],[Round Total Brick]]*KDK[[#This Row],[Amount of pre brick]]</f>
        <v>0</v>
      </c>
    </row>
    <row r="34" spans="1:11" x14ac:dyDescent="0.25">
      <c r="A34" s="22">
        <f t="shared" ref="A34:A65" si="4">ROW()-1</f>
        <v>33</v>
      </c>
      <c r="B34" s="17">
        <v>45570</v>
      </c>
      <c r="C34" s="4" t="str">
        <f>TEXT(KDK[[#This Row],[Date]],"dddd")</f>
        <v>Saturday</v>
      </c>
      <c r="D34" s="5">
        <f>WEEKNUM(KDK[[#This Row],[Date]],2)</f>
        <v>40</v>
      </c>
      <c r="E34" s="15" t="s">
        <v>9</v>
      </c>
      <c r="F34" s="14">
        <f t="shared" si="2"/>
        <v>0</v>
      </c>
      <c r="G34" s="14">
        <f t="shared" si="2"/>
        <v>0</v>
      </c>
      <c r="H34" s="4">
        <f>KDK[[#This Row],[Brick]]*KDK[[#This Row],[Line]]</f>
        <v>0</v>
      </c>
      <c r="I3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4" s="4">
        <f t="shared" si="3"/>
        <v>1.5</v>
      </c>
      <c r="K34" s="6">
        <f>KDK[[#This Row],[Round Total Brick]]*KDK[[#This Row],[Amount of pre brick]]</f>
        <v>0</v>
      </c>
    </row>
    <row r="35" spans="1:11" x14ac:dyDescent="0.25">
      <c r="A35" s="22">
        <f t="shared" si="4"/>
        <v>34</v>
      </c>
      <c r="B35" s="17">
        <v>45570</v>
      </c>
      <c r="C35" s="4" t="str">
        <f>TEXT(KDK[[#This Row],[Date]],"dddd")</f>
        <v>Saturday</v>
      </c>
      <c r="D35" s="4">
        <f>WEEKNUM(KDK[[#This Row],[Date]],2)</f>
        <v>40</v>
      </c>
      <c r="E35" s="14" t="s">
        <v>19</v>
      </c>
      <c r="F35" s="14">
        <f t="shared" ref="F35:G74" si="5">_xlfn.IFNA(0,0)</f>
        <v>0</v>
      </c>
      <c r="G35" s="14">
        <f t="shared" si="5"/>
        <v>0</v>
      </c>
      <c r="H35" s="4">
        <f>KDK[[#This Row],[Brick]]*KDK[[#This Row],[Line]]</f>
        <v>0</v>
      </c>
      <c r="I3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5" s="4">
        <f t="shared" si="3"/>
        <v>1.5</v>
      </c>
      <c r="K35" s="6">
        <f>KDK[[#This Row],[Round Total Brick]]*KDK[[#This Row],[Amount of pre brick]]</f>
        <v>0</v>
      </c>
    </row>
    <row r="36" spans="1:11" x14ac:dyDescent="0.25">
      <c r="A36" s="22">
        <f t="shared" si="4"/>
        <v>35</v>
      </c>
      <c r="B36" s="17">
        <v>45570</v>
      </c>
      <c r="C36" s="4" t="str">
        <f>TEXT(KDK[[#This Row],[Date]],"dddd")</f>
        <v>Saturday</v>
      </c>
      <c r="D36" s="4">
        <f>WEEKNUM(KDK[[#This Row],[Date]],2)</f>
        <v>40</v>
      </c>
      <c r="E36" s="14" t="s">
        <v>18</v>
      </c>
      <c r="F36" s="14">
        <f t="shared" si="5"/>
        <v>0</v>
      </c>
      <c r="G36" s="14">
        <f t="shared" si="5"/>
        <v>0</v>
      </c>
      <c r="H36" s="4">
        <f>KDK[[#This Row],[Brick]]*KDK[[#This Row],[Line]]</f>
        <v>0</v>
      </c>
      <c r="I3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6" s="4">
        <f t="shared" si="3"/>
        <v>1.5</v>
      </c>
      <c r="K36" s="6">
        <f>KDK[[#This Row],[Round Total Brick]]*KDK[[#This Row],[Amount of pre brick]]</f>
        <v>0</v>
      </c>
    </row>
    <row r="37" spans="1:11" x14ac:dyDescent="0.25">
      <c r="A37" s="22">
        <f t="shared" si="4"/>
        <v>36</v>
      </c>
      <c r="B37" s="17">
        <v>45570</v>
      </c>
      <c r="C37" s="4" t="str">
        <f>TEXT(KDK[[#This Row],[Date]],"dddd")</f>
        <v>Saturday</v>
      </c>
      <c r="D37" s="4">
        <f>WEEKNUM(KDK[[#This Row],[Date]],2)</f>
        <v>40</v>
      </c>
      <c r="E37" s="14" t="s">
        <v>38</v>
      </c>
      <c r="F37" s="14">
        <f t="shared" si="5"/>
        <v>0</v>
      </c>
      <c r="G37" s="14">
        <f t="shared" si="5"/>
        <v>0</v>
      </c>
      <c r="H37" s="4">
        <f>KDK[[#This Row],[Brick]]*KDK[[#This Row],[Line]]</f>
        <v>0</v>
      </c>
      <c r="I3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7" s="4">
        <f t="shared" si="3"/>
        <v>1.5</v>
      </c>
      <c r="K37" s="6">
        <f>KDK[[#This Row],[Round Total Brick]]*KDK[[#This Row],[Amount of pre brick]]</f>
        <v>0</v>
      </c>
    </row>
    <row r="38" spans="1:11" x14ac:dyDescent="0.25">
      <c r="A38" s="22">
        <f t="shared" si="4"/>
        <v>37</v>
      </c>
      <c r="B38" s="17">
        <v>45571</v>
      </c>
      <c r="C38" s="4" t="str">
        <f>TEXT(KDK[[#This Row],[Date]],"dddd")</f>
        <v>Sunday</v>
      </c>
      <c r="D38" s="4">
        <f>WEEKNUM(KDK[[#This Row],[Date]],2)</f>
        <v>40</v>
      </c>
      <c r="E38" s="14" t="s">
        <v>26</v>
      </c>
      <c r="F38" s="14">
        <f t="shared" si="5"/>
        <v>0</v>
      </c>
      <c r="G38" s="14">
        <f t="shared" si="5"/>
        <v>0</v>
      </c>
      <c r="H38" s="4">
        <f>KDK[[#This Row],[Brick]]*KDK[[#This Row],[Line]]</f>
        <v>0</v>
      </c>
      <c r="I3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8" s="4">
        <f t="shared" ref="J38:J44" si="6">_xlfn.IFNA(1.5,0)</f>
        <v>1.5</v>
      </c>
      <c r="K38" s="6">
        <f>KDK[[#This Row],[Round Total Brick]]*KDK[[#This Row],[Amount of pre brick]]</f>
        <v>0</v>
      </c>
    </row>
    <row r="39" spans="1:11" x14ac:dyDescent="0.25">
      <c r="A39" s="22">
        <f t="shared" si="4"/>
        <v>38</v>
      </c>
      <c r="B39" s="17">
        <v>45571</v>
      </c>
      <c r="C39" s="4" t="str">
        <f>TEXT(KDK[[#This Row],[Date]],"dddd")</f>
        <v>Sunday</v>
      </c>
      <c r="D39" s="4">
        <f>WEEKNUM(KDK[[#This Row],[Date]],2)</f>
        <v>40</v>
      </c>
      <c r="E39" s="14" t="s">
        <v>28</v>
      </c>
      <c r="F39" s="14">
        <f t="shared" si="5"/>
        <v>0</v>
      </c>
      <c r="G39" s="14">
        <f t="shared" si="5"/>
        <v>0</v>
      </c>
      <c r="H39" s="4">
        <f>KDK[[#This Row],[Brick]]*KDK[[#This Row],[Line]]</f>
        <v>0</v>
      </c>
      <c r="I3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39" s="4">
        <f t="shared" si="6"/>
        <v>1.5</v>
      </c>
      <c r="K39" s="6">
        <f>KDK[[#This Row],[Round Total Brick]]*KDK[[#This Row],[Amount of pre brick]]</f>
        <v>0</v>
      </c>
    </row>
    <row r="40" spans="1:11" x14ac:dyDescent="0.25">
      <c r="A40" s="22">
        <f t="shared" si="4"/>
        <v>39</v>
      </c>
      <c r="B40" s="17">
        <v>45571</v>
      </c>
      <c r="C40" s="4" t="str">
        <f>TEXT(KDK[[#This Row],[Date]],"dddd")</f>
        <v>Sunday</v>
      </c>
      <c r="D40" s="4">
        <f>WEEKNUM(KDK[[#This Row],[Date]],2)</f>
        <v>40</v>
      </c>
      <c r="E40" s="14" t="s">
        <v>17</v>
      </c>
      <c r="F40" s="14">
        <f t="shared" si="5"/>
        <v>0</v>
      </c>
      <c r="G40" s="14">
        <f t="shared" si="5"/>
        <v>0</v>
      </c>
      <c r="H40" s="4">
        <f>KDK[[#This Row],[Brick]]*KDK[[#This Row],[Line]]</f>
        <v>0</v>
      </c>
      <c r="I4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0" s="4">
        <f t="shared" si="6"/>
        <v>1.5</v>
      </c>
      <c r="K40" s="6">
        <f>KDK[[#This Row],[Round Total Brick]]*KDK[[#This Row],[Amount of pre brick]]</f>
        <v>0</v>
      </c>
    </row>
    <row r="41" spans="1:11" x14ac:dyDescent="0.25">
      <c r="A41" s="22">
        <f t="shared" si="4"/>
        <v>40</v>
      </c>
      <c r="B41" s="17">
        <v>45571</v>
      </c>
      <c r="C41" s="4" t="str">
        <f>TEXT(KDK[[#This Row],[Date]],"dddd")</f>
        <v>Sunday</v>
      </c>
      <c r="D41" s="5">
        <f>WEEKNUM(KDK[[#This Row],[Date]],2)</f>
        <v>40</v>
      </c>
      <c r="E41" s="15" t="s">
        <v>9</v>
      </c>
      <c r="F41" s="14">
        <f t="shared" si="5"/>
        <v>0</v>
      </c>
      <c r="G41" s="14">
        <f t="shared" si="5"/>
        <v>0</v>
      </c>
      <c r="H41" s="4">
        <f>KDK[[#This Row],[Brick]]*KDK[[#This Row],[Line]]</f>
        <v>0</v>
      </c>
      <c r="I4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1" s="4">
        <f t="shared" si="6"/>
        <v>1.5</v>
      </c>
      <c r="K41" s="6">
        <f>KDK[[#This Row],[Round Total Brick]]*KDK[[#This Row],[Amount of pre brick]]</f>
        <v>0</v>
      </c>
    </row>
    <row r="42" spans="1:11" x14ac:dyDescent="0.25">
      <c r="A42" s="22">
        <f t="shared" si="4"/>
        <v>41</v>
      </c>
      <c r="B42" s="17">
        <v>45571</v>
      </c>
      <c r="C42" s="4" t="str">
        <f>TEXT(KDK[[#This Row],[Date]],"dddd")</f>
        <v>Sunday</v>
      </c>
      <c r="D42" s="4">
        <f>WEEKNUM(KDK[[#This Row],[Date]],2)</f>
        <v>40</v>
      </c>
      <c r="E42" s="14" t="s">
        <v>19</v>
      </c>
      <c r="F42" s="14">
        <f t="shared" si="5"/>
        <v>0</v>
      </c>
      <c r="G42" s="14">
        <f t="shared" si="5"/>
        <v>0</v>
      </c>
      <c r="H42" s="4">
        <f>KDK[[#This Row],[Brick]]*KDK[[#This Row],[Line]]</f>
        <v>0</v>
      </c>
      <c r="I4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2" s="4">
        <f t="shared" si="6"/>
        <v>1.5</v>
      </c>
      <c r="K42" s="6">
        <f>KDK[[#This Row],[Round Total Brick]]*KDK[[#This Row],[Amount of pre brick]]</f>
        <v>0</v>
      </c>
    </row>
    <row r="43" spans="1:11" x14ac:dyDescent="0.25">
      <c r="A43" s="22">
        <f t="shared" si="4"/>
        <v>42</v>
      </c>
      <c r="B43" s="17">
        <v>45571</v>
      </c>
      <c r="C43" s="4" t="str">
        <f>TEXT(KDK[[#This Row],[Date]],"dddd")</f>
        <v>Sunday</v>
      </c>
      <c r="D43" s="4">
        <f>WEEKNUM(KDK[[#This Row],[Date]],2)</f>
        <v>40</v>
      </c>
      <c r="E43" s="14" t="s">
        <v>18</v>
      </c>
      <c r="F43" s="14">
        <f t="shared" si="5"/>
        <v>0</v>
      </c>
      <c r="G43" s="14">
        <f t="shared" si="5"/>
        <v>0</v>
      </c>
      <c r="H43" s="4">
        <f>KDK[[#This Row],[Brick]]*KDK[[#This Row],[Line]]</f>
        <v>0</v>
      </c>
      <c r="I4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3" s="4">
        <f t="shared" si="6"/>
        <v>1.5</v>
      </c>
      <c r="K43" s="6">
        <f>KDK[[#This Row],[Round Total Brick]]*KDK[[#This Row],[Amount of pre brick]]</f>
        <v>0</v>
      </c>
    </row>
    <row r="44" spans="1:11" x14ac:dyDescent="0.25">
      <c r="A44" s="22">
        <f t="shared" si="4"/>
        <v>43</v>
      </c>
      <c r="B44" s="17">
        <v>45571</v>
      </c>
      <c r="C44" s="4" t="str">
        <f>TEXT(KDK[[#This Row],[Date]],"dddd")</f>
        <v>Sunday</v>
      </c>
      <c r="D44" s="4">
        <f>WEEKNUM(KDK[[#This Row],[Date]],2)</f>
        <v>40</v>
      </c>
      <c r="E44" s="14" t="s">
        <v>38</v>
      </c>
      <c r="F44" s="14">
        <f t="shared" si="5"/>
        <v>0</v>
      </c>
      <c r="G44" s="14">
        <f t="shared" si="5"/>
        <v>0</v>
      </c>
      <c r="H44" s="4">
        <f>KDK[[#This Row],[Brick]]*KDK[[#This Row],[Line]]</f>
        <v>0</v>
      </c>
      <c r="I4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4" s="4">
        <f t="shared" si="6"/>
        <v>1.5</v>
      </c>
      <c r="K44" s="6">
        <f>KDK[[#This Row],[Round Total Brick]]*KDK[[#This Row],[Amount of pre brick]]</f>
        <v>0</v>
      </c>
    </row>
    <row r="45" spans="1:11" x14ac:dyDescent="0.25">
      <c r="A45" s="22">
        <f t="shared" si="4"/>
        <v>44</v>
      </c>
      <c r="B45" s="17">
        <v>45572</v>
      </c>
      <c r="C45" s="4" t="str">
        <f>TEXT(KDK[[#This Row],[Date]],"dddd")</f>
        <v>Monday</v>
      </c>
      <c r="D45" s="4">
        <f>WEEKNUM(KDK[[#This Row],[Date]],2)</f>
        <v>41</v>
      </c>
      <c r="E45" s="14" t="s">
        <v>26</v>
      </c>
      <c r="F45" s="14">
        <f t="shared" si="5"/>
        <v>0</v>
      </c>
      <c r="G45" s="14">
        <f t="shared" si="5"/>
        <v>0</v>
      </c>
      <c r="H45" s="4">
        <f>KDK[[#This Row],[Brick]]*KDK[[#This Row],[Line]]</f>
        <v>0</v>
      </c>
      <c r="I4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5" s="4">
        <f t="shared" ref="J45:J51" si="7">_xlfn.IFNA(1.5,0)</f>
        <v>1.5</v>
      </c>
      <c r="K45" s="6">
        <f>KDK[[#This Row],[Round Total Brick]]*KDK[[#This Row],[Amount of pre brick]]</f>
        <v>0</v>
      </c>
    </row>
    <row r="46" spans="1:11" x14ac:dyDescent="0.25">
      <c r="A46" s="22">
        <f t="shared" si="4"/>
        <v>45</v>
      </c>
      <c r="B46" s="17">
        <v>45572</v>
      </c>
      <c r="C46" s="4" t="str">
        <f>TEXT(KDK[[#This Row],[Date]],"dddd")</f>
        <v>Monday</v>
      </c>
      <c r="D46" s="4">
        <f>WEEKNUM(KDK[[#This Row],[Date]],2)</f>
        <v>41</v>
      </c>
      <c r="E46" s="14" t="s">
        <v>28</v>
      </c>
      <c r="F46" s="14">
        <f t="shared" si="5"/>
        <v>0</v>
      </c>
      <c r="G46" s="14">
        <f t="shared" si="5"/>
        <v>0</v>
      </c>
      <c r="H46" s="4">
        <f>KDK[[#This Row],[Brick]]*KDK[[#This Row],[Line]]</f>
        <v>0</v>
      </c>
      <c r="I4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6" s="4">
        <f t="shared" si="7"/>
        <v>1.5</v>
      </c>
      <c r="K46" s="6">
        <f>KDK[[#This Row],[Round Total Brick]]*KDK[[#This Row],[Amount of pre brick]]</f>
        <v>0</v>
      </c>
    </row>
    <row r="47" spans="1:11" x14ac:dyDescent="0.25">
      <c r="A47" s="22">
        <f t="shared" si="4"/>
        <v>46</v>
      </c>
      <c r="B47" s="17">
        <v>45572</v>
      </c>
      <c r="C47" s="4" t="str">
        <f>TEXT(KDK[[#This Row],[Date]],"dddd")</f>
        <v>Monday</v>
      </c>
      <c r="D47" s="4">
        <f>WEEKNUM(KDK[[#This Row],[Date]],2)</f>
        <v>41</v>
      </c>
      <c r="E47" s="14" t="s">
        <v>17</v>
      </c>
      <c r="F47" s="14">
        <f t="shared" si="5"/>
        <v>0</v>
      </c>
      <c r="G47" s="14">
        <f t="shared" si="5"/>
        <v>0</v>
      </c>
      <c r="H47" s="4">
        <f>KDK[[#This Row],[Brick]]*KDK[[#This Row],[Line]]</f>
        <v>0</v>
      </c>
      <c r="I4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7" s="4">
        <f t="shared" si="7"/>
        <v>1.5</v>
      </c>
      <c r="K47" s="6">
        <f>KDK[[#This Row],[Round Total Brick]]*KDK[[#This Row],[Amount of pre brick]]</f>
        <v>0</v>
      </c>
    </row>
    <row r="48" spans="1:11" x14ac:dyDescent="0.25">
      <c r="A48" s="22">
        <f t="shared" si="4"/>
        <v>47</v>
      </c>
      <c r="B48" s="17">
        <v>45572</v>
      </c>
      <c r="C48" s="4" t="str">
        <f>TEXT(KDK[[#This Row],[Date]],"dddd")</f>
        <v>Monday</v>
      </c>
      <c r="D48" s="5">
        <f>WEEKNUM(KDK[[#This Row],[Date]],2)</f>
        <v>41</v>
      </c>
      <c r="E48" s="15" t="s">
        <v>9</v>
      </c>
      <c r="F48" s="14">
        <f t="shared" si="5"/>
        <v>0</v>
      </c>
      <c r="G48" s="14">
        <f t="shared" si="5"/>
        <v>0</v>
      </c>
      <c r="H48" s="4">
        <f>KDK[[#This Row],[Brick]]*KDK[[#This Row],[Line]]</f>
        <v>0</v>
      </c>
      <c r="I4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8" s="4">
        <f t="shared" si="7"/>
        <v>1.5</v>
      </c>
      <c r="K48" s="6">
        <f>KDK[[#This Row],[Round Total Brick]]*KDK[[#This Row],[Amount of pre brick]]</f>
        <v>0</v>
      </c>
    </row>
    <row r="49" spans="1:11" x14ac:dyDescent="0.25">
      <c r="A49" s="22">
        <f t="shared" si="4"/>
        <v>48</v>
      </c>
      <c r="B49" s="17">
        <v>45572</v>
      </c>
      <c r="C49" s="4" t="str">
        <f>TEXT(KDK[[#This Row],[Date]],"dddd")</f>
        <v>Monday</v>
      </c>
      <c r="D49" s="4">
        <f>WEEKNUM(KDK[[#This Row],[Date]],2)</f>
        <v>41</v>
      </c>
      <c r="E49" s="14" t="s">
        <v>19</v>
      </c>
      <c r="F49" s="14">
        <f t="shared" si="5"/>
        <v>0</v>
      </c>
      <c r="G49" s="14">
        <f t="shared" si="5"/>
        <v>0</v>
      </c>
      <c r="H49" s="4">
        <f>KDK[[#This Row],[Brick]]*KDK[[#This Row],[Line]]</f>
        <v>0</v>
      </c>
      <c r="I4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49" s="4">
        <f t="shared" si="7"/>
        <v>1.5</v>
      </c>
      <c r="K49" s="6">
        <f>KDK[[#This Row],[Round Total Brick]]*KDK[[#This Row],[Amount of pre brick]]</f>
        <v>0</v>
      </c>
    </row>
    <row r="50" spans="1:11" x14ac:dyDescent="0.25">
      <c r="A50" s="22">
        <f t="shared" si="4"/>
        <v>49</v>
      </c>
      <c r="B50" s="17">
        <v>45572</v>
      </c>
      <c r="C50" s="4" t="str">
        <f>TEXT(KDK[[#This Row],[Date]],"dddd")</f>
        <v>Monday</v>
      </c>
      <c r="D50" s="4">
        <f>WEEKNUM(KDK[[#This Row],[Date]],2)</f>
        <v>41</v>
      </c>
      <c r="E50" s="14" t="s">
        <v>18</v>
      </c>
      <c r="F50" s="14">
        <f t="shared" si="5"/>
        <v>0</v>
      </c>
      <c r="G50" s="14">
        <f t="shared" si="5"/>
        <v>0</v>
      </c>
      <c r="H50" s="4">
        <f>KDK[[#This Row],[Brick]]*KDK[[#This Row],[Line]]</f>
        <v>0</v>
      </c>
      <c r="I5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0" s="4">
        <f t="shared" si="7"/>
        <v>1.5</v>
      </c>
      <c r="K50" s="6">
        <f>KDK[[#This Row],[Round Total Brick]]*KDK[[#This Row],[Amount of pre brick]]</f>
        <v>0</v>
      </c>
    </row>
    <row r="51" spans="1:11" x14ac:dyDescent="0.25">
      <c r="A51" s="22">
        <f t="shared" si="4"/>
        <v>50</v>
      </c>
      <c r="B51" s="17">
        <v>45572</v>
      </c>
      <c r="C51" s="4" t="str">
        <f>TEXT(KDK[[#This Row],[Date]],"dddd")</f>
        <v>Monday</v>
      </c>
      <c r="D51" s="4">
        <f>WEEKNUM(KDK[[#This Row],[Date]],2)</f>
        <v>41</v>
      </c>
      <c r="E51" s="14" t="s">
        <v>38</v>
      </c>
      <c r="F51" s="14">
        <f t="shared" si="5"/>
        <v>0</v>
      </c>
      <c r="G51" s="14">
        <f t="shared" si="5"/>
        <v>0</v>
      </c>
      <c r="H51" s="4">
        <f>KDK[[#This Row],[Brick]]*KDK[[#This Row],[Line]]</f>
        <v>0</v>
      </c>
      <c r="I5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1" s="4">
        <f t="shared" si="7"/>
        <v>1.5</v>
      </c>
      <c r="K51" s="6">
        <f>KDK[[#This Row],[Round Total Brick]]*KDK[[#This Row],[Amount of pre brick]]</f>
        <v>0</v>
      </c>
    </row>
    <row r="52" spans="1:11" x14ac:dyDescent="0.25">
      <c r="A52" s="22">
        <f t="shared" si="4"/>
        <v>51</v>
      </c>
      <c r="B52" s="17">
        <v>45573</v>
      </c>
      <c r="C52" s="4" t="str">
        <f>TEXT(KDK[[#This Row],[Date]],"dddd")</f>
        <v>Tuesday</v>
      </c>
      <c r="D52" s="4">
        <f>WEEKNUM(KDK[[#This Row],[Date]],2)</f>
        <v>41</v>
      </c>
      <c r="E52" s="14" t="s">
        <v>26</v>
      </c>
      <c r="F52" s="14">
        <f t="shared" si="5"/>
        <v>0</v>
      </c>
      <c r="G52" s="14">
        <f t="shared" si="5"/>
        <v>0</v>
      </c>
      <c r="H52" s="4">
        <f>KDK[[#This Row],[Brick]]*KDK[[#This Row],[Line]]</f>
        <v>0</v>
      </c>
      <c r="I5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2" s="4">
        <f t="shared" ref="J52:J58" si="8">_xlfn.IFNA(1.5,0)</f>
        <v>1.5</v>
      </c>
      <c r="K52" s="6">
        <f>KDK[[#This Row],[Round Total Brick]]*KDK[[#This Row],[Amount of pre brick]]</f>
        <v>0</v>
      </c>
    </row>
    <row r="53" spans="1:11" x14ac:dyDescent="0.25">
      <c r="A53" s="22">
        <f t="shared" si="4"/>
        <v>52</v>
      </c>
      <c r="B53" s="17">
        <v>45573</v>
      </c>
      <c r="C53" s="4" t="str">
        <f>TEXT(KDK[[#This Row],[Date]],"dddd")</f>
        <v>Tuesday</v>
      </c>
      <c r="D53" s="4">
        <f>WEEKNUM(KDK[[#This Row],[Date]],2)</f>
        <v>41</v>
      </c>
      <c r="E53" s="14" t="s">
        <v>28</v>
      </c>
      <c r="F53" s="14">
        <f t="shared" si="5"/>
        <v>0</v>
      </c>
      <c r="G53" s="14">
        <f t="shared" si="5"/>
        <v>0</v>
      </c>
      <c r="H53" s="4">
        <f>KDK[[#This Row],[Brick]]*KDK[[#This Row],[Line]]</f>
        <v>0</v>
      </c>
      <c r="I5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3" s="4">
        <f t="shared" si="8"/>
        <v>1.5</v>
      </c>
      <c r="K53" s="6">
        <f>KDK[[#This Row],[Round Total Brick]]*KDK[[#This Row],[Amount of pre brick]]</f>
        <v>0</v>
      </c>
    </row>
    <row r="54" spans="1:11" x14ac:dyDescent="0.25">
      <c r="A54" s="22">
        <f t="shared" si="4"/>
        <v>53</v>
      </c>
      <c r="B54" s="17">
        <v>45573</v>
      </c>
      <c r="C54" s="4" t="str">
        <f>TEXT(KDK[[#This Row],[Date]],"dddd")</f>
        <v>Tuesday</v>
      </c>
      <c r="D54" s="4">
        <f>WEEKNUM(KDK[[#This Row],[Date]],2)</f>
        <v>41</v>
      </c>
      <c r="E54" s="14" t="s">
        <v>17</v>
      </c>
      <c r="F54" s="14">
        <f t="shared" si="5"/>
        <v>0</v>
      </c>
      <c r="G54" s="14">
        <f t="shared" si="5"/>
        <v>0</v>
      </c>
      <c r="H54" s="4">
        <f>KDK[[#This Row],[Brick]]*KDK[[#This Row],[Line]]</f>
        <v>0</v>
      </c>
      <c r="I5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4" s="4">
        <f t="shared" si="8"/>
        <v>1.5</v>
      </c>
      <c r="K54" s="6">
        <f>KDK[[#This Row],[Round Total Brick]]*KDK[[#This Row],[Amount of pre brick]]</f>
        <v>0</v>
      </c>
    </row>
    <row r="55" spans="1:11" x14ac:dyDescent="0.25">
      <c r="A55" s="22">
        <f t="shared" si="4"/>
        <v>54</v>
      </c>
      <c r="B55" s="17">
        <v>45573</v>
      </c>
      <c r="C55" s="4" t="str">
        <f>TEXT(KDK[[#This Row],[Date]],"dddd")</f>
        <v>Tuesday</v>
      </c>
      <c r="D55" s="5">
        <f>WEEKNUM(KDK[[#This Row],[Date]],2)</f>
        <v>41</v>
      </c>
      <c r="E55" s="15" t="s">
        <v>9</v>
      </c>
      <c r="F55" s="14">
        <v>28</v>
      </c>
      <c r="G55" s="14">
        <v>36</v>
      </c>
      <c r="H55" s="4">
        <f>KDK[[#This Row],[Brick]]*KDK[[#This Row],[Line]]</f>
        <v>1008</v>
      </c>
      <c r="I5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1000</v>
      </c>
      <c r="J55" s="4">
        <f t="shared" si="8"/>
        <v>1.5</v>
      </c>
      <c r="K55" s="6">
        <f>KDK[[#This Row],[Round Total Brick]]*KDK[[#This Row],[Amount of pre brick]]</f>
        <v>1500</v>
      </c>
    </row>
    <row r="56" spans="1:11" x14ac:dyDescent="0.25">
      <c r="A56" s="22">
        <f t="shared" si="4"/>
        <v>55</v>
      </c>
      <c r="B56" s="17">
        <v>45573</v>
      </c>
      <c r="C56" s="4" t="str">
        <f>TEXT(KDK[[#This Row],[Date]],"dddd")</f>
        <v>Tuesday</v>
      </c>
      <c r="D56" s="4">
        <f>WEEKNUM(KDK[[#This Row],[Date]],2)</f>
        <v>41</v>
      </c>
      <c r="E56" s="14" t="s">
        <v>19</v>
      </c>
      <c r="F56" s="14">
        <f t="shared" si="5"/>
        <v>0</v>
      </c>
      <c r="G56" s="14">
        <f t="shared" si="5"/>
        <v>0</v>
      </c>
      <c r="H56" s="4">
        <f>KDK[[#This Row],[Brick]]*KDK[[#This Row],[Line]]</f>
        <v>0</v>
      </c>
      <c r="I5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6" s="4">
        <f t="shared" si="8"/>
        <v>1.5</v>
      </c>
      <c r="K56" s="6">
        <f>KDK[[#This Row],[Round Total Brick]]*KDK[[#This Row],[Amount of pre brick]]</f>
        <v>0</v>
      </c>
    </row>
    <row r="57" spans="1:11" x14ac:dyDescent="0.25">
      <c r="A57" s="22">
        <f t="shared" si="4"/>
        <v>56</v>
      </c>
      <c r="B57" s="17">
        <v>45573</v>
      </c>
      <c r="C57" s="4" t="str">
        <f>TEXT(KDK[[#This Row],[Date]],"dddd")</f>
        <v>Tuesday</v>
      </c>
      <c r="D57" s="4">
        <f>WEEKNUM(KDK[[#This Row],[Date]],2)</f>
        <v>41</v>
      </c>
      <c r="E57" s="14" t="s">
        <v>18</v>
      </c>
      <c r="F57" s="14">
        <f t="shared" si="5"/>
        <v>0</v>
      </c>
      <c r="G57" s="14">
        <f t="shared" si="5"/>
        <v>0</v>
      </c>
      <c r="H57" s="4">
        <f>KDK[[#This Row],[Brick]]*KDK[[#This Row],[Line]]</f>
        <v>0</v>
      </c>
      <c r="I5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7" s="4">
        <f t="shared" si="8"/>
        <v>1.5</v>
      </c>
      <c r="K57" s="6">
        <f>KDK[[#This Row],[Round Total Brick]]*KDK[[#This Row],[Amount of pre brick]]</f>
        <v>0</v>
      </c>
    </row>
    <row r="58" spans="1:11" x14ac:dyDescent="0.25">
      <c r="A58" s="22">
        <f t="shared" si="4"/>
        <v>57</v>
      </c>
      <c r="B58" s="17">
        <v>45573</v>
      </c>
      <c r="C58" s="4" t="str">
        <f>TEXT(KDK[[#This Row],[Date]],"dddd")</f>
        <v>Tuesday</v>
      </c>
      <c r="D58" s="4">
        <f>WEEKNUM(KDK[[#This Row],[Date]],2)</f>
        <v>41</v>
      </c>
      <c r="E58" s="14" t="s">
        <v>38</v>
      </c>
      <c r="F58" s="14">
        <f t="shared" si="5"/>
        <v>0</v>
      </c>
      <c r="G58" s="14">
        <f t="shared" si="5"/>
        <v>0</v>
      </c>
      <c r="H58" s="4">
        <f>KDK[[#This Row],[Brick]]*KDK[[#This Row],[Line]]</f>
        <v>0</v>
      </c>
      <c r="I5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58" s="4">
        <f t="shared" si="8"/>
        <v>1.5</v>
      </c>
      <c r="K58" s="6">
        <f>KDK[[#This Row],[Round Total Brick]]*KDK[[#This Row],[Amount of pre brick]]</f>
        <v>0</v>
      </c>
    </row>
    <row r="59" spans="1:11" x14ac:dyDescent="0.25">
      <c r="A59" s="22">
        <f t="shared" si="4"/>
        <v>58</v>
      </c>
      <c r="B59" s="17">
        <v>45574</v>
      </c>
      <c r="C59" s="4" t="str">
        <f>TEXT(KDK[[#This Row],[Date]],"dddd")</f>
        <v>Wednesday</v>
      </c>
      <c r="D59" s="4">
        <f>WEEKNUM(KDK[[#This Row],[Date]],2)</f>
        <v>41</v>
      </c>
      <c r="E59" s="14" t="s">
        <v>26</v>
      </c>
      <c r="F59" s="14">
        <v>28</v>
      </c>
      <c r="G59" s="14">
        <v>43</v>
      </c>
      <c r="H59" s="4">
        <f>KDK[[#This Row],[Brick]]*KDK[[#This Row],[Line]]</f>
        <v>1204</v>
      </c>
      <c r="I5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1200</v>
      </c>
      <c r="J59" s="4">
        <f t="shared" ref="J59:J64" si="9">_xlfn.IFNA(1.5,0)</f>
        <v>1.5</v>
      </c>
      <c r="K59" s="6">
        <f>KDK[[#This Row],[Round Total Brick]]*KDK[[#This Row],[Amount of pre brick]]</f>
        <v>1800</v>
      </c>
    </row>
    <row r="60" spans="1:11" x14ac:dyDescent="0.25">
      <c r="A60" s="22">
        <f t="shared" si="4"/>
        <v>59</v>
      </c>
      <c r="B60" s="17">
        <v>45574</v>
      </c>
      <c r="C60" s="4" t="str">
        <f>TEXT(KDK[[#This Row],[Date]],"dddd")</f>
        <v>Wednesday</v>
      </c>
      <c r="D60" s="4">
        <f>WEEKNUM(KDK[[#This Row],[Date]],2)</f>
        <v>41</v>
      </c>
      <c r="E60" s="14" t="s">
        <v>28</v>
      </c>
      <c r="F60" s="14">
        <v>27</v>
      </c>
      <c r="G60" s="14">
        <v>41</v>
      </c>
      <c r="H60" s="4">
        <f>KDK[[#This Row],[Brick]]*KDK[[#This Row],[Line]]</f>
        <v>1107</v>
      </c>
      <c r="I6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60" s="4">
        <f t="shared" si="9"/>
        <v>1.5</v>
      </c>
      <c r="K60" s="6">
        <f>KDK[[#This Row],[Round Total Brick]]*KDK[[#This Row],[Amount of pre brick]]</f>
        <v>1650</v>
      </c>
    </row>
    <row r="61" spans="1:11" x14ac:dyDescent="0.25">
      <c r="A61" s="22">
        <f t="shared" si="4"/>
        <v>60</v>
      </c>
      <c r="B61" s="17">
        <v>45574</v>
      </c>
      <c r="C61" s="4" t="str">
        <f>TEXT(KDK[[#This Row],[Date]],"dddd")</f>
        <v>Wednesday</v>
      </c>
      <c r="D61" s="4">
        <f>WEEKNUM(KDK[[#This Row],[Date]],2)</f>
        <v>41</v>
      </c>
      <c r="E61" s="14" t="s">
        <v>17</v>
      </c>
      <c r="F61" s="14">
        <v>26</v>
      </c>
      <c r="G61" s="14">
        <v>43</v>
      </c>
      <c r="H61" s="4">
        <f>KDK[[#This Row],[Brick]]*KDK[[#This Row],[Line]]</f>
        <v>1118</v>
      </c>
      <c r="I6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61" s="4">
        <f t="shared" si="9"/>
        <v>1.5</v>
      </c>
      <c r="K61" s="6">
        <f>KDK[[#This Row],[Round Total Brick]]*KDK[[#This Row],[Amount of pre brick]]</f>
        <v>1650</v>
      </c>
    </row>
    <row r="62" spans="1:11" x14ac:dyDescent="0.25">
      <c r="A62" s="22">
        <f t="shared" si="4"/>
        <v>61</v>
      </c>
      <c r="B62" s="17">
        <v>45574</v>
      </c>
      <c r="C62" s="4" t="str">
        <f>TEXT(KDK[[#This Row],[Date]],"dddd")</f>
        <v>Wednesday</v>
      </c>
      <c r="D62" s="5">
        <f>WEEKNUM(KDK[[#This Row],[Date]],2)</f>
        <v>41</v>
      </c>
      <c r="E62" s="15" t="s">
        <v>9</v>
      </c>
      <c r="F62" s="14">
        <v>32</v>
      </c>
      <c r="G62" s="14">
        <v>35</v>
      </c>
      <c r="H62" s="4">
        <f>KDK[[#This Row],[Brick]]*KDK[[#This Row],[Line]]</f>
        <v>1120</v>
      </c>
      <c r="I6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62" s="4">
        <f>_xlfn.IFNA(1.5,0)</f>
        <v>1.5</v>
      </c>
      <c r="K62" s="6">
        <f>KDK[[#This Row],[Round Total Brick]]*KDK[[#This Row],[Amount of pre brick]]</f>
        <v>1650</v>
      </c>
    </row>
    <row r="63" spans="1:11" x14ac:dyDescent="0.25">
      <c r="A63" s="22">
        <f t="shared" si="4"/>
        <v>62</v>
      </c>
      <c r="B63" s="17">
        <v>45574</v>
      </c>
      <c r="C63" s="4" t="str">
        <f>TEXT(KDK[[#This Row],[Date]],"dddd")</f>
        <v>Wednesday</v>
      </c>
      <c r="D63" s="5">
        <f>WEEKNUM(KDK[[#This Row],[Date]],2)</f>
        <v>41</v>
      </c>
      <c r="E63" s="15" t="s">
        <v>9</v>
      </c>
      <c r="F63" s="14">
        <v>30</v>
      </c>
      <c r="G63" s="14">
        <v>34</v>
      </c>
      <c r="H63" s="4">
        <f>KDK[[#This Row],[Brick]]*KDK[[#This Row],[Line]]</f>
        <v>1020</v>
      </c>
      <c r="I6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1000</v>
      </c>
      <c r="J63" s="4">
        <f t="shared" si="9"/>
        <v>1.5</v>
      </c>
      <c r="K63" s="6">
        <f>KDK[[#This Row],[Round Total Brick]]*KDK[[#This Row],[Amount of pre brick]]</f>
        <v>1500</v>
      </c>
    </row>
    <row r="64" spans="1:11" x14ac:dyDescent="0.25">
      <c r="A64" s="22">
        <f t="shared" si="4"/>
        <v>63</v>
      </c>
      <c r="B64" s="17">
        <v>45574</v>
      </c>
      <c r="C64" s="4" t="str">
        <f>TEXT(KDK[[#This Row],[Date]],"dddd")</f>
        <v>Wednesday</v>
      </c>
      <c r="D64" s="4">
        <f>WEEKNUM(KDK[[#This Row],[Date]],2)</f>
        <v>41</v>
      </c>
      <c r="E64" s="14" t="s">
        <v>19</v>
      </c>
      <c r="F64" s="14">
        <f t="shared" si="5"/>
        <v>0</v>
      </c>
      <c r="G64" s="14">
        <f t="shared" si="5"/>
        <v>0</v>
      </c>
      <c r="H64" s="4">
        <f>KDK[[#This Row],[Brick]]*KDK[[#This Row],[Line]]</f>
        <v>0</v>
      </c>
      <c r="I6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64" s="4">
        <f t="shared" si="9"/>
        <v>1.5</v>
      </c>
      <c r="K64" s="6">
        <f>KDK[[#This Row],[Round Total Brick]]*KDK[[#This Row],[Amount of pre brick]]</f>
        <v>0</v>
      </c>
    </row>
    <row r="65" spans="1:11" x14ac:dyDescent="0.25">
      <c r="A65" s="22">
        <f t="shared" si="4"/>
        <v>64</v>
      </c>
      <c r="B65" s="17">
        <v>45574</v>
      </c>
      <c r="C65" s="4" t="str">
        <f>TEXT(KDK[[#This Row],[Date]],"dddd")</f>
        <v>Wednesday</v>
      </c>
      <c r="D65" s="4">
        <f>WEEKNUM(KDK[[#This Row],[Date]],2)</f>
        <v>41</v>
      </c>
      <c r="E65" s="14" t="s">
        <v>18</v>
      </c>
      <c r="F65" s="14">
        <v>35</v>
      </c>
      <c r="G65" s="14">
        <v>31</v>
      </c>
      <c r="H65" s="4">
        <f>KDK[[#This Row],[Brick]]*KDK[[#This Row],[Line]]</f>
        <v>1085</v>
      </c>
      <c r="I6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1050</v>
      </c>
      <c r="J65" s="4">
        <f t="shared" ref="J65:J66" si="10">_xlfn.IFNA(1.5,0)</f>
        <v>1.5</v>
      </c>
      <c r="K65" s="6">
        <f>KDK[[#This Row],[Round Total Brick]]*KDK[[#This Row],[Amount of pre brick]]</f>
        <v>1575</v>
      </c>
    </row>
    <row r="66" spans="1:11" x14ac:dyDescent="0.25">
      <c r="A66" s="22">
        <f t="shared" ref="A66:A97" si="11">ROW()-1</f>
        <v>65</v>
      </c>
      <c r="B66" s="17">
        <v>45574</v>
      </c>
      <c r="C66" s="4" t="str">
        <f>TEXT(KDK[[#This Row],[Date]],"dddd")</f>
        <v>Wednesday</v>
      </c>
      <c r="D66" s="4">
        <f>WEEKNUM(KDK[[#This Row],[Date]],2)</f>
        <v>41</v>
      </c>
      <c r="E66" s="14" t="s">
        <v>38</v>
      </c>
      <c r="F66" s="14">
        <v>30</v>
      </c>
      <c r="G66" s="14">
        <v>20</v>
      </c>
      <c r="H66" s="4">
        <f>KDK[[#This Row],[Brick]]*KDK[[#This Row],[Line]]</f>
        <v>600</v>
      </c>
      <c r="I6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600</v>
      </c>
      <c r="J66" s="4">
        <f t="shared" si="10"/>
        <v>1.5</v>
      </c>
      <c r="K66" s="6">
        <f>KDK[[#This Row],[Round Total Brick]]*KDK[[#This Row],[Amount of pre brick]]</f>
        <v>900</v>
      </c>
    </row>
    <row r="67" spans="1:11" x14ac:dyDescent="0.25">
      <c r="A67" s="22">
        <f t="shared" si="11"/>
        <v>66</v>
      </c>
      <c r="B67" s="17">
        <v>45575</v>
      </c>
      <c r="C67" s="4" t="str">
        <f>TEXT(KDK[[#This Row],[Date]],"dddd")</f>
        <v>Thursday</v>
      </c>
      <c r="D67" s="4">
        <f>WEEKNUM(KDK[[#This Row],[Date]],2)</f>
        <v>41</v>
      </c>
      <c r="E67" s="14" t="s">
        <v>26</v>
      </c>
      <c r="F67" s="14">
        <v>29</v>
      </c>
      <c r="G67" s="14">
        <v>42</v>
      </c>
      <c r="H67" s="4">
        <f>KDK[[#This Row],[Brick]]*KDK[[#This Row],[Line]]</f>
        <v>1218</v>
      </c>
      <c r="I6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1200</v>
      </c>
      <c r="J67" s="4">
        <f t="shared" ref="J67:J74" si="12">_xlfn.IFNA(1.5,0)</f>
        <v>1.5</v>
      </c>
      <c r="K67" s="6">
        <f>KDK[[#This Row],[Round Total Brick]]*KDK[[#This Row],[Amount of pre brick]]</f>
        <v>1800</v>
      </c>
    </row>
    <row r="68" spans="1:11" x14ac:dyDescent="0.25">
      <c r="A68" s="22">
        <f t="shared" si="11"/>
        <v>67</v>
      </c>
      <c r="B68" s="17">
        <v>45575</v>
      </c>
      <c r="C68" s="4" t="str">
        <f>TEXT(KDK[[#This Row],[Date]],"dddd")</f>
        <v>Thursday</v>
      </c>
      <c r="D68" s="4">
        <f>WEEKNUM(KDK[[#This Row],[Date]],2)</f>
        <v>41</v>
      </c>
      <c r="E68" s="14" t="s">
        <v>28</v>
      </c>
      <c r="F68" s="14">
        <f t="shared" si="5"/>
        <v>0</v>
      </c>
      <c r="G68" s="14">
        <f t="shared" si="5"/>
        <v>0</v>
      </c>
      <c r="H68" s="4">
        <f>KDK[[#This Row],[Brick]]*KDK[[#This Row],[Line]]</f>
        <v>0</v>
      </c>
      <c r="I6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68" s="4">
        <f t="shared" si="12"/>
        <v>1.5</v>
      </c>
      <c r="K68" s="6">
        <f>KDK[[#This Row],[Round Total Brick]]*KDK[[#This Row],[Amount of pre brick]]</f>
        <v>0</v>
      </c>
    </row>
    <row r="69" spans="1:11" x14ac:dyDescent="0.25">
      <c r="A69" s="22">
        <f t="shared" si="11"/>
        <v>68</v>
      </c>
      <c r="B69" s="17">
        <v>45575</v>
      </c>
      <c r="C69" s="4" t="str">
        <f>TEXT(KDK[[#This Row],[Date]],"dddd")</f>
        <v>Thursday</v>
      </c>
      <c r="D69" s="4">
        <f>WEEKNUM(KDK[[#This Row],[Date]],2)</f>
        <v>41</v>
      </c>
      <c r="E69" s="14" t="s">
        <v>17</v>
      </c>
      <c r="F69" s="14">
        <v>25</v>
      </c>
      <c r="G69" s="14">
        <v>44</v>
      </c>
      <c r="H69" s="4">
        <f>KDK[[#This Row],[Brick]]*KDK[[#This Row],[Line]]</f>
        <v>1100</v>
      </c>
      <c r="I6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69" s="4">
        <f t="shared" si="12"/>
        <v>1.5</v>
      </c>
      <c r="K69" s="6">
        <f>KDK[[#This Row],[Round Total Brick]]*KDK[[#This Row],[Amount of pre brick]]</f>
        <v>1650</v>
      </c>
    </row>
    <row r="70" spans="1:11" x14ac:dyDescent="0.25">
      <c r="A70" s="22">
        <f t="shared" si="11"/>
        <v>69</v>
      </c>
      <c r="B70" s="17">
        <v>45575</v>
      </c>
      <c r="C70" s="4" t="str">
        <f>TEXT(KDK[[#This Row],[Date]],"dddd")</f>
        <v>Thursday</v>
      </c>
      <c r="D70" s="5">
        <f>WEEKNUM(KDK[[#This Row],[Date]],2)</f>
        <v>41</v>
      </c>
      <c r="E70" s="15" t="s">
        <v>9</v>
      </c>
      <c r="F70" s="14">
        <v>28</v>
      </c>
      <c r="G70" s="14">
        <v>35</v>
      </c>
      <c r="H70" s="4">
        <f>KDK[[#This Row],[Brick]]*KDK[[#This Row],[Line]]</f>
        <v>980</v>
      </c>
      <c r="I7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950</v>
      </c>
      <c r="J70" s="4">
        <f>_xlfn.IFNA(1.5,0)</f>
        <v>1.5</v>
      </c>
      <c r="K70" s="6">
        <f>KDK[[#This Row],[Round Total Brick]]*KDK[[#This Row],[Amount of pre brick]]</f>
        <v>1425</v>
      </c>
    </row>
    <row r="71" spans="1:11" x14ac:dyDescent="0.25">
      <c r="A71" s="22">
        <f t="shared" si="11"/>
        <v>70</v>
      </c>
      <c r="B71" s="17">
        <v>45575</v>
      </c>
      <c r="C71" s="4" t="str">
        <f>TEXT(KDK[[#This Row],[Date]],"dddd")</f>
        <v>Thursday</v>
      </c>
      <c r="D71" s="5">
        <f>WEEKNUM(KDK[[#This Row],[Date]],2)</f>
        <v>41</v>
      </c>
      <c r="E71" s="15" t="s">
        <v>9</v>
      </c>
      <c r="F71" s="14">
        <v>33</v>
      </c>
      <c r="G71" s="14">
        <v>32</v>
      </c>
      <c r="H71" s="4">
        <f>KDK[[#This Row],[Brick]]*KDK[[#This Row],[Line]]</f>
        <v>1056</v>
      </c>
      <c r="I7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1050</v>
      </c>
      <c r="J71" s="4">
        <f t="shared" si="12"/>
        <v>1.5</v>
      </c>
      <c r="K71" s="6">
        <f>KDK[[#This Row],[Round Total Brick]]*KDK[[#This Row],[Amount of pre brick]]</f>
        <v>1575</v>
      </c>
    </row>
    <row r="72" spans="1:11" x14ac:dyDescent="0.25">
      <c r="A72" s="22">
        <f t="shared" si="11"/>
        <v>71</v>
      </c>
      <c r="B72" s="17">
        <v>45575</v>
      </c>
      <c r="C72" s="4" t="str">
        <f>TEXT(KDK[[#This Row],[Date]],"dddd")</f>
        <v>Thursday</v>
      </c>
      <c r="D72" s="4">
        <f>WEEKNUM(KDK[[#This Row],[Date]],2)</f>
        <v>41</v>
      </c>
      <c r="E72" s="14" t="s">
        <v>19</v>
      </c>
      <c r="F72" s="14">
        <v>25</v>
      </c>
      <c r="G72" s="14">
        <v>44</v>
      </c>
      <c r="H72" s="4">
        <f>KDK[[#This Row],[Brick]]*KDK[[#This Row],[Line]]</f>
        <v>1100</v>
      </c>
      <c r="I7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72" s="4">
        <f t="shared" si="12"/>
        <v>1.5</v>
      </c>
      <c r="K72" s="6">
        <f>KDK[[#This Row],[Round Total Brick]]*KDK[[#This Row],[Amount of pre brick]]</f>
        <v>1650</v>
      </c>
    </row>
    <row r="73" spans="1:11" x14ac:dyDescent="0.25">
      <c r="A73" s="22">
        <f t="shared" si="11"/>
        <v>72</v>
      </c>
      <c r="B73" s="17">
        <v>45575</v>
      </c>
      <c r="C73" s="4" t="str">
        <f>TEXT(KDK[[#This Row],[Date]],"dddd")</f>
        <v>Thursday</v>
      </c>
      <c r="D73" s="4">
        <f>WEEKNUM(KDK[[#This Row],[Date]],2)</f>
        <v>41</v>
      </c>
      <c r="E73" s="14" t="s">
        <v>18</v>
      </c>
      <c r="F73" s="14">
        <f t="shared" si="5"/>
        <v>0</v>
      </c>
      <c r="G73" s="14">
        <f t="shared" si="5"/>
        <v>0</v>
      </c>
      <c r="H73" s="4">
        <f>KDK[[#This Row],[Brick]]*KDK[[#This Row],[Line]]</f>
        <v>0</v>
      </c>
      <c r="I7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73" s="4">
        <f t="shared" si="12"/>
        <v>1.5</v>
      </c>
      <c r="K73" s="6">
        <f>KDK[[#This Row],[Round Total Brick]]*KDK[[#This Row],[Amount of pre brick]]</f>
        <v>0</v>
      </c>
    </row>
    <row r="74" spans="1:11" x14ac:dyDescent="0.25">
      <c r="A74" s="22">
        <f t="shared" si="11"/>
        <v>73</v>
      </c>
      <c r="B74" s="17">
        <v>45575</v>
      </c>
      <c r="C74" s="4" t="str">
        <f>TEXT(KDK[[#This Row],[Date]],"dddd")</f>
        <v>Thursday</v>
      </c>
      <c r="D74" s="4">
        <f>WEEKNUM(KDK[[#This Row],[Date]],2)</f>
        <v>41</v>
      </c>
      <c r="E74" s="14" t="s">
        <v>38</v>
      </c>
      <c r="F74" s="14">
        <f t="shared" si="5"/>
        <v>0</v>
      </c>
      <c r="G74" s="14">
        <f t="shared" si="5"/>
        <v>0</v>
      </c>
      <c r="H74" s="4">
        <f>KDK[[#This Row],[Brick]]*KDK[[#This Row],[Line]]</f>
        <v>0</v>
      </c>
      <c r="I7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74" s="4">
        <f t="shared" si="12"/>
        <v>1.5</v>
      </c>
      <c r="K74" s="6">
        <f>KDK[[#This Row],[Round Total Brick]]*KDK[[#This Row],[Amount of pre brick]]</f>
        <v>0</v>
      </c>
    </row>
    <row r="75" spans="1:11" x14ac:dyDescent="0.25">
      <c r="A75" s="22">
        <f t="shared" si="11"/>
        <v>74</v>
      </c>
      <c r="B75" s="17">
        <v>45576</v>
      </c>
      <c r="C75" s="4" t="str">
        <f>TEXT(KDK[[#This Row],[Date]],"dddd")</f>
        <v>Friday</v>
      </c>
      <c r="D75" s="4">
        <f>WEEKNUM(KDK[[#This Row],[Date]],2)</f>
        <v>41</v>
      </c>
      <c r="E75" s="14" t="s">
        <v>26</v>
      </c>
      <c r="F75" s="14">
        <v>28</v>
      </c>
      <c r="G75" s="14">
        <v>43</v>
      </c>
      <c r="H75" s="4">
        <f>KDK[[#This Row],[Brick]]*KDK[[#This Row],[Line]]</f>
        <v>1204</v>
      </c>
      <c r="I7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1200</v>
      </c>
      <c r="J75" s="4">
        <f t="shared" ref="J75:J81" si="13">_xlfn.IFNA(1.5,0)</f>
        <v>1.5</v>
      </c>
      <c r="K75" s="6">
        <f>KDK[[#This Row],[Round Total Brick]]*KDK[[#This Row],[Amount of pre brick]]</f>
        <v>1800</v>
      </c>
    </row>
    <row r="76" spans="1:11" x14ac:dyDescent="0.25">
      <c r="A76" s="22">
        <f t="shared" si="11"/>
        <v>75</v>
      </c>
      <c r="B76" s="17">
        <v>45576</v>
      </c>
      <c r="C76" s="4" t="str">
        <f>TEXT(KDK[[#This Row],[Date]],"dddd")</f>
        <v>Friday</v>
      </c>
      <c r="D76" s="4">
        <f>WEEKNUM(KDK[[#This Row],[Date]],2)</f>
        <v>41</v>
      </c>
      <c r="E76" s="14" t="s">
        <v>28</v>
      </c>
      <c r="F76" s="14">
        <v>24</v>
      </c>
      <c r="G76" s="14">
        <v>45</v>
      </c>
      <c r="H76" s="4">
        <f>KDK[[#This Row],[Brick]]*KDK[[#This Row],[Line]]</f>
        <v>1080</v>
      </c>
      <c r="I7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1050</v>
      </c>
      <c r="J76" s="4">
        <f t="shared" si="13"/>
        <v>1.5</v>
      </c>
      <c r="K76" s="6">
        <f>KDK[[#This Row],[Round Total Brick]]*KDK[[#This Row],[Amount of pre brick]]</f>
        <v>1575</v>
      </c>
    </row>
    <row r="77" spans="1:11" x14ac:dyDescent="0.25">
      <c r="A77" s="22">
        <f t="shared" si="11"/>
        <v>76</v>
      </c>
      <c r="B77" s="17">
        <v>45576</v>
      </c>
      <c r="C77" s="4" t="str">
        <f>TEXT(KDK[[#This Row],[Date]],"dddd")</f>
        <v>Friday</v>
      </c>
      <c r="D77" s="4">
        <f>WEEKNUM(KDK[[#This Row],[Date]],2)</f>
        <v>41</v>
      </c>
      <c r="E77" s="14" t="s">
        <v>17</v>
      </c>
      <c r="F77" s="14">
        <v>28</v>
      </c>
      <c r="G77" s="14">
        <v>41</v>
      </c>
      <c r="H77" s="4">
        <f>KDK[[#This Row],[Brick]]*KDK[[#This Row],[Line]]</f>
        <v>1148</v>
      </c>
      <c r="I7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1150</v>
      </c>
      <c r="J77" s="4">
        <f t="shared" si="13"/>
        <v>1.5</v>
      </c>
      <c r="K77" s="6">
        <f>KDK[[#This Row],[Round Total Brick]]*KDK[[#This Row],[Amount of pre brick]]</f>
        <v>1725</v>
      </c>
    </row>
    <row r="78" spans="1:11" x14ac:dyDescent="0.25">
      <c r="A78" s="22">
        <f t="shared" si="11"/>
        <v>77</v>
      </c>
      <c r="B78" s="17">
        <v>45576</v>
      </c>
      <c r="C78" s="4" t="str">
        <f>TEXT(KDK[[#This Row],[Date]],"dddd")</f>
        <v>Friday</v>
      </c>
      <c r="D78" s="5">
        <f>WEEKNUM(KDK[[#This Row],[Date]],2)</f>
        <v>41</v>
      </c>
      <c r="E78" s="15" t="s">
        <v>9</v>
      </c>
      <c r="F78" s="14">
        <v>30</v>
      </c>
      <c r="G78" s="14">
        <v>36</v>
      </c>
      <c r="H78" s="4">
        <f>KDK[[#This Row],[Brick]]*KDK[[#This Row],[Line]]</f>
        <v>1080</v>
      </c>
      <c r="I7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1050</v>
      </c>
      <c r="J78" s="4">
        <f t="shared" si="13"/>
        <v>1.5</v>
      </c>
      <c r="K78" s="6">
        <f>KDK[[#This Row],[Round Total Brick]]*KDK[[#This Row],[Amount of pre brick]]</f>
        <v>1575</v>
      </c>
    </row>
    <row r="79" spans="1:11" x14ac:dyDescent="0.25">
      <c r="A79" s="22">
        <f t="shared" si="11"/>
        <v>78</v>
      </c>
      <c r="B79" s="17">
        <v>45576</v>
      </c>
      <c r="C79" s="4" t="str">
        <f>TEXT(KDK[[#This Row],[Date]],"dddd")</f>
        <v>Friday</v>
      </c>
      <c r="D79" s="4">
        <f>WEEKNUM(KDK[[#This Row],[Date]],2)</f>
        <v>41</v>
      </c>
      <c r="E79" s="14" t="s">
        <v>19</v>
      </c>
      <c r="F79" s="14">
        <v>24</v>
      </c>
      <c r="G79" s="14">
        <v>40</v>
      </c>
      <c r="H79" s="4">
        <f>KDK[[#This Row],[Brick]]*KDK[[#This Row],[Line]]</f>
        <v>960</v>
      </c>
      <c r="I7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950</v>
      </c>
      <c r="J79" s="4">
        <f t="shared" si="13"/>
        <v>1.5</v>
      </c>
      <c r="K79" s="6">
        <f>KDK[[#This Row],[Round Total Brick]]*KDK[[#This Row],[Amount of pre brick]]</f>
        <v>1425</v>
      </c>
    </row>
    <row r="80" spans="1:11" x14ac:dyDescent="0.25">
      <c r="A80" s="22">
        <f t="shared" si="11"/>
        <v>79</v>
      </c>
      <c r="B80" s="17">
        <v>45576</v>
      </c>
      <c r="C80" s="4" t="str">
        <f>TEXT(KDK[[#This Row],[Date]],"dddd")</f>
        <v>Friday</v>
      </c>
      <c r="D80" s="4">
        <f>WEEKNUM(KDK[[#This Row],[Date]],2)</f>
        <v>41</v>
      </c>
      <c r="E80" s="14" t="s">
        <v>18</v>
      </c>
      <c r="F80" s="14">
        <v>26</v>
      </c>
      <c r="G80" s="14">
        <v>41</v>
      </c>
      <c r="H80" s="4">
        <f>KDK[[#This Row],[Brick]]*KDK[[#This Row],[Line]]</f>
        <v>1066</v>
      </c>
      <c r="I8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1050</v>
      </c>
      <c r="J80" s="4">
        <f t="shared" si="13"/>
        <v>1.5</v>
      </c>
      <c r="K80" s="6">
        <f>KDK[[#This Row],[Round Total Brick]]*KDK[[#This Row],[Amount of pre brick]]</f>
        <v>1575</v>
      </c>
    </row>
    <row r="81" spans="1:11" x14ac:dyDescent="0.25">
      <c r="A81" s="22">
        <f t="shared" si="11"/>
        <v>80</v>
      </c>
      <c r="B81" s="17">
        <v>45576</v>
      </c>
      <c r="C81" s="4" t="str">
        <f>TEXT(KDK[[#This Row],[Date]],"dddd")</f>
        <v>Friday</v>
      </c>
      <c r="D81" s="4">
        <f>WEEKNUM(KDK[[#This Row],[Date]],2)</f>
        <v>41</v>
      </c>
      <c r="E81" s="14" t="s">
        <v>38</v>
      </c>
      <c r="F81" s="14">
        <v>32</v>
      </c>
      <c r="G81" s="14">
        <v>27</v>
      </c>
      <c r="H81" s="4">
        <f>KDK[[#This Row],[Brick]]*KDK[[#This Row],[Line]]</f>
        <v>864</v>
      </c>
      <c r="I8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850</v>
      </c>
      <c r="J81" s="4">
        <f t="shared" si="13"/>
        <v>1.5</v>
      </c>
      <c r="K81" s="6">
        <f>KDK[[#This Row],[Round Total Brick]]*KDK[[#This Row],[Amount of pre brick]]</f>
        <v>1275</v>
      </c>
    </row>
    <row r="82" spans="1:11" x14ac:dyDescent="0.25">
      <c r="A82" s="22">
        <f t="shared" si="11"/>
        <v>81</v>
      </c>
      <c r="B82" s="17">
        <v>45577</v>
      </c>
      <c r="C82" s="4" t="str">
        <f>TEXT(KDK[[#This Row],[Date]],"dddd")</f>
        <v>Saturday</v>
      </c>
      <c r="D82" s="4">
        <f>WEEKNUM(KDK[[#This Row],[Date]],2)</f>
        <v>41</v>
      </c>
      <c r="E82" s="14" t="s">
        <v>26</v>
      </c>
      <c r="F82" s="14">
        <v>44</v>
      </c>
      <c r="G82" s="14">
        <v>25</v>
      </c>
      <c r="H82" s="4">
        <f>KDK[[#This Row],[Brick]]*KDK[[#This Row],[Line]]</f>
        <v>1100</v>
      </c>
      <c r="I8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1100</v>
      </c>
      <c r="J82" s="4">
        <f t="shared" ref="J82:J88" si="14">_xlfn.IFNA(1.5,0)</f>
        <v>1.5</v>
      </c>
      <c r="K82" s="6">
        <f>KDK[[#This Row],[Round Total Brick]]*KDK[[#This Row],[Amount of pre brick]]</f>
        <v>1650</v>
      </c>
    </row>
    <row r="83" spans="1:11" x14ac:dyDescent="0.25">
      <c r="A83" s="22">
        <f t="shared" si="11"/>
        <v>82</v>
      </c>
      <c r="B83" s="17">
        <v>45577</v>
      </c>
      <c r="C83" s="4" t="str">
        <f>TEXT(KDK[[#This Row],[Date]],"dddd")</f>
        <v>Saturday</v>
      </c>
      <c r="D83" s="4">
        <f>WEEKNUM(KDK[[#This Row],[Date]],2)</f>
        <v>41</v>
      </c>
      <c r="E83" s="14" t="s">
        <v>28</v>
      </c>
      <c r="F83" s="14">
        <f t="shared" ref="F83:F146" si="15">_xlfn.IFNA(0,0)</f>
        <v>0</v>
      </c>
      <c r="G83" s="14">
        <f t="shared" ref="G83:G146" si="16">_xlfn.IFNA(0,0)</f>
        <v>0</v>
      </c>
      <c r="H83" s="4">
        <f>KDK[[#This Row],[Brick]]*KDK[[#This Row],[Line]]</f>
        <v>0</v>
      </c>
      <c r="I8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83" s="4">
        <f t="shared" si="14"/>
        <v>1.5</v>
      </c>
      <c r="K83" s="6">
        <f>KDK[[#This Row],[Round Total Brick]]*KDK[[#This Row],[Amount of pre brick]]</f>
        <v>0</v>
      </c>
    </row>
    <row r="84" spans="1:11" x14ac:dyDescent="0.25">
      <c r="A84" s="22">
        <f t="shared" si="11"/>
        <v>83</v>
      </c>
      <c r="B84" s="17">
        <v>45577</v>
      </c>
      <c r="C84" s="4" t="str">
        <f>TEXT(KDK[[#This Row],[Date]],"dddd")</f>
        <v>Saturday</v>
      </c>
      <c r="D84" s="4">
        <f>WEEKNUM(KDK[[#This Row],[Date]],2)</f>
        <v>41</v>
      </c>
      <c r="E84" s="14" t="s">
        <v>17</v>
      </c>
      <c r="F84" s="14">
        <f t="shared" si="15"/>
        <v>0</v>
      </c>
      <c r="G84" s="14">
        <f t="shared" si="16"/>
        <v>0</v>
      </c>
      <c r="H84" s="4">
        <f>KDK[[#This Row],[Brick]]*KDK[[#This Row],[Line]]</f>
        <v>0</v>
      </c>
      <c r="I8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84" s="4">
        <f t="shared" si="14"/>
        <v>1.5</v>
      </c>
      <c r="K84" s="6">
        <f>KDK[[#This Row],[Round Total Brick]]*KDK[[#This Row],[Amount of pre brick]]</f>
        <v>0</v>
      </c>
    </row>
    <row r="85" spans="1:11" x14ac:dyDescent="0.25">
      <c r="A85" s="22">
        <f t="shared" si="11"/>
        <v>84</v>
      </c>
      <c r="B85" s="17">
        <v>45577</v>
      </c>
      <c r="C85" s="4" t="str">
        <f>TEXT(KDK[[#This Row],[Date]],"dddd")</f>
        <v>Saturday</v>
      </c>
      <c r="D85" s="5">
        <f>WEEKNUM(KDK[[#This Row],[Date]],2)</f>
        <v>41</v>
      </c>
      <c r="E85" s="15" t="s">
        <v>9</v>
      </c>
      <c r="F85" s="14">
        <f t="shared" si="15"/>
        <v>0</v>
      </c>
      <c r="G85" s="14">
        <f t="shared" si="16"/>
        <v>0</v>
      </c>
      <c r="H85" s="4">
        <f>KDK[[#This Row],[Brick]]*KDK[[#This Row],[Line]]</f>
        <v>0</v>
      </c>
      <c r="I8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85" s="4">
        <f t="shared" si="14"/>
        <v>1.5</v>
      </c>
      <c r="K85" s="6">
        <f>KDK[[#This Row],[Round Total Brick]]*KDK[[#This Row],[Amount of pre brick]]</f>
        <v>0</v>
      </c>
    </row>
    <row r="86" spans="1:11" x14ac:dyDescent="0.25">
      <c r="A86" s="22">
        <f t="shared" si="11"/>
        <v>85</v>
      </c>
      <c r="B86" s="17">
        <v>45577</v>
      </c>
      <c r="C86" s="4" t="str">
        <f>TEXT(KDK[[#This Row],[Date]],"dddd")</f>
        <v>Saturday</v>
      </c>
      <c r="D86" s="4">
        <f>WEEKNUM(KDK[[#This Row],[Date]],2)</f>
        <v>41</v>
      </c>
      <c r="E86" s="14" t="s">
        <v>19</v>
      </c>
      <c r="F86" s="14">
        <f t="shared" si="15"/>
        <v>0</v>
      </c>
      <c r="G86" s="14">
        <f t="shared" si="16"/>
        <v>0</v>
      </c>
      <c r="H86" s="4">
        <f>KDK[[#This Row],[Brick]]*KDK[[#This Row],[Line]]</f>
        <v>0</v>
      </c>
      <c r="I8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86" s="4">
        <f t="shared" si="14"/>
        <v>1.5</v>
      </c>
      <c r="K86" s="6">
        <f>KDK[[#This Row],[Round Total Brick]]*KDK[[#This Row],[Amount of pre brick]]</f>
        <v>0</v>
      </c>
    </row>
    <row r="87" spans="1:11" x14ac:dyDescent="0.25">
      <c r="A87" s="22">
        <f t="shared" si="11"/>
        <v>86</v>
      </c>
      <c r="B87" s="17">
        <v>45577</v>
      </c>
      <c r="C87" s="4" t="str">
        <f>TEXT(KDK[[#This Row],[Date]],"dddd")</f>
        <v>Saturday</v>
      </c>
      <c r="D87" s="4">
        <f>WEEKNUM(KDK[[#This Row],[Date]],2)</f>
        <v>41</v>
      </c>
      <c r="E87" s="14" t="s">
        <v>18</v>
      </c>
      <c r="F87" s="14">
        <v>27</v>
      </c>
      <c r="G87" s="14">
        <v>35</v>
      </c>
      <c r="H87" s="4">
        <f>KDK[[#This Row],[Brick]]*KDK[[#This Row],[Line]]</f>
        <v>945</v>
      </c>
      <c r="I8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950</v>
      </c>
      <c r="J87" s="4">
        <f t="shared" si="14"/>
        <v>1.5</v>
      </c>
      <c r="K87" s="6">
        <f>KDK[[#This Row],[Round Total Brick]]*KDK[[#This Row],[Amount of pre brick]]</f>
        <v>1425</v>
      </c>
    </row>
    <row r="88" spans="1:11" x14ac:dyDescent="0.25">
      <c r="A88" s="22">
        <f t="shared" si="11"/>
        <v>87</v>
      </c>
      <c r="B88" s="17">
        <v>45577</v>
      </c>
      <c r="C88" s="4" t="str">
        <f>TEXT(KDK[[#This Row],[Date]],"dddd")</f>
        <v>Saturday</v>
      </c>
      <c r="D88" s="4">
        <f>WEEKNUM(KDK[[#This Row],[Date]],2)</f>
        <v>41</v>
      </c>
      <c r="E88" s="14" t="s">
        <v>38</v>
      </c>
      <c r="F88" s="14">
        <f>_xlfn.IFNA(0,0)</f>
        <v>0</v>
      </c>
      <c r="G88" s="14">
        <f t="shared" si="16"/>
        <v>0</v>
      </c>
      <c r="H88" s="4">
        <f>KDK[[#This Row],[Brick]]*KDK[[#This Row],[Line]]</f>
        <v>0</v>
      </c>
      <c r="I8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88" s="4">
        <f t="shared" si="14"/>
        <v>1.5</v>
      </c>
      <c r="K88" s="6">
        <f>KDK[[#This Row],[Round Total Brick]]*KDK[[#This Row],[Amount of pre brick]]</f>
        <v>0</v>
      </c>
    </row>
    <row r="89" spans="1:11" x14ac:dyDescent="0.25">
      <c r="A89" s="22">
        <f t="shared" si="11"/>
        <v>88</v>
      </c>
      <c r="B89" s="17">
        <v>45578</v>
      </c>
      <c r="C89" s="4" t="str">
        <f>TEXT(KDK[[#This Row],[Date]],"dddd")</f>
        <v>Sunday</v>
      </c>
      <c r="D89" s="4">
        <f>WEEKNUM(KDK[[#This Row],[Date]],2)</f>
        <v>41</v>
      </c>
      <c r="E89" s="14" t="s">
        <v>26</v>
      </c>
      <c r="F89" s="14">
        <f t="shared" si="15"/>
        <v>0</v>
      </c>
      <c r="G89" s="14">
        <f t="shared" si="16"/>
        <v>0</v>
      </c>
      <c r="H89" s="4">
        <f>KDK[[#This Row],[Brick]]*KDK[[#This Row],[Line]]</f>
        <v>0</v>
      </c>
      <c r="I8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89" s="4">
        <f t="shared" ref="J89:J95" si="17">_xlfn.IFNA(1.5,0)</f>
        <v>1.5</v>
      </c>
      <c r="K89" s="6">
        <f>KDK[[#This Row],[Round Total Brick]]*KDK[[#This Row],[Amount of pre brick]]</f>
        <v>0</v>
      </c>
    </row>
    <row r="90" spans="1:11" x14ac:dyDescent="0.25">
      <c r="A90" s="22">
        <f t="shared" si="11"/>
        <v>89</v>
      </c>
      <c r="B90" s="17">
        <v>45578</v>
      </c>
      <c r="C90" s="4" t="str">
        <f>TEXT(KDK[[#This Row],[Date]],"dddd")</f>
        <v>Sunday</v>
      </c>
      <c r="D90" s="4">
        <f>WEEKNUM(KDK[[#This Row],[Date]],2)</f>
        <v>41</v>
      </c>
      <c r="E90" s="14" t="s">
        <v>28</v>
      </c>
      <c r="F90" s="14">
        <f t="shared" si="15"/>
        <v>0</v>
      </c>
      <c r="G90" s="14">
        <f t="shared" si="16"/>
        <v>0</v>
      </c>
      <c r="H90" s="4">
        <f>KDK[[#This Row],[Brick]]*KDK[[#This Row],[Line]]</f>
        <v>0</v>
      </c>
      <c r="I9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0" s="4">
        <f t="shared" si="17"/>
        <v>1.5</v>
      </c>
      <c r="K90" s="6">
        <f>KDK[[#This Row],[Round Total Brick]]*KDK[[#This Row],[Amount of pre brick]]</f>
        <v>0</v>
      </c>
    </row>
    <row r="91" spans="1:11" x14ac:dyDescent="0.25">
      <c r="A91" s="22">
        <f t="shared" si="11"/>
        <v>90</v>
      </c>
      <c r="B91" s="17">
        <v>45578</v>
      </c>
      <c r="C91" s="4" t="str">
        <f>TEXT(KDK[[#This Row],[Date]],"dddd")</f>
        <v>Sunday</v>
      </c>
      <c r="D91" s="4">
        <f>WEEKNUM(KDK[[#This Row],[Date]],2)</f>
        <v>41</v>
      </c>
      <c r="E91" s="14" t="s">
        <v>17</v>
      </c>
      <c r="F91" s="14">
        <f t="shared" si="15"/>
        <v>0</v>
      </c>
      <c r="G91" s="14">
        <f t="shared" si="16"/>
        <v>0</v>
      </c>
      <c r="H91" s="4">
        <f>KDK[[#This Row],[Brick]]*KDK[[#This Row],[Line]]</f>
        <v>0</v>
      </c>
      <c r="I9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1" s="4">
        <f t="shared" si="17"/>
        <v>1.5</v>
      </c>
      <c r="K91" s="6">
        <f>KDK[[#This Row],[Round Total Brick]]*KDK[[#This Row],[Amount of pre brick]]</f>
        <v>0</v>
      </c>
    </row>
    <row r="92" spans="1:11" x14ac:dyDescent="0.25">
      <c r="A92" s="22">
        <f t="shared" si="11"/>
        <v>91</v>
      </c>
      <c r="B92" s="17">
        <v>45578</v>
      </c>
      <c r="C92" s="4" t="str">
        <f>TEXT(KDK[[#This Row],[Date]],"dddd")</f>
        <v>Sunday</v>
      </c>
      <c r="D92" s="5">
        <f>WEEKNUM(KDK[[#This Row],[Date]],2)</f>
        <v>41</v>
      </c>
      <c r="E92" s="15" t="s">
        <v>9</v>
      </c>
      <c r="F92" s="14">
        <f t="shared" si="15"/>
        <v>0</v>
      </c>
      <c r="G92" s="14">
        <f t="shared" si="16"/>
        <v>0</v>
      </c>
      <c r="H92" s="4">
        <f>KDK[[#This Row],[Brick]]*KDK[[#This Row],[Line]]</f>
        <v>0</v>
      </c>
      <c r="I9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2" s="4">
        <f t="shared" si="17"/>
        <v>1.5</v>
      </c>
      <c r="K92" s="6">
        <f>KDK[[#This Row],[Round Total Brick]]*KDK[[#This Row],[Amount of pre brick]]</f>
        <v>0</v>
      </c>
    </row>
    <row r="93" spans="1:11" x14ac:dyDescent="0.25">
      <c r="A93" s="22">
        <f t="shared" si="11"/>
        <v>92</v>
      </c>
      <c r="B93" s="17">
        <v>45578</v>
      </c>
      <c r="C93" s="4" t="str">
        <f>TEXT(KDK[[#This Row],[Date]],"dddd")</f>
        <v>Sunday</v>
      </c>
      <c r="D93" s="4">
        <f>WEEKNUM(KDK[[#This Row],[Date]],2)</f>
        <v>41</v>
      </c>
      <c r="E93" s="14" t="s">
        <v>19</v>
      </c>
      <c r="F93" s="14">
        <f t="shared" si="15"/>
        <v>0</v>
      </c>
      <c r="G93" s="14">
        <f t="shared" si="16"/>
        <v>0</v>
      </c>
      <c r="H93" s="4">
        <f>KDK[[#This Row],[Brick]]*KDK[[#This Row],[Line]]</f>
        <v>0</v>
      </c>
      <c r="I9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3" s="4">
        <f t="shared" si="17"/>
        <v>1.5</v>
      </c>
      <c r="K93" s="6">
        <f>KDK[[#This Row],[Round Total Brick]]*KDK[[#This Row],[Amount of pre brick]]</f>
        <v>0</v>
      </c>
    </row>
    <row r="94" spans="1:11" x14ac:dyDescent="0.25">
      <c r="A94" s="22">
        <f t="shared" si="11"/>
        <v>93</v>
      </c>
      <c r="B94" s="17">
        <v>45578</v>
      </c>
      <c r="C94" s="4" t="str">
        <f>TEXT(KDK[[#This Row],[Date]],"dddd")</f>
        <v>Sunday</v>
      </c>
      <c r="D94" s="4">
        <f>WEEKNUM(KDK[[#This Row],[Date]],2)</f>
        <v>41</v>
      </c>
      <c r="E94" s="14" t="s">
        <v>18</v>
      </c>
      <c r="F94" s="14">
        <f t="shared" si="15"/>
        <v>0</v>
      </c>
      <c r="G94" s="14">
        <f t="shared" si="16"/>
        <v>0</v>
      </c>
      <c r="H94" s="4">
        <f>KDK[[#This Row],[Brick]]*KDK[[#This Row],[Line]]</f>
        <v>0</v>
      </c>
      <c r="I9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4" s="4">
        <f t="shared" si="17"/>
        <v>1.5</v>
      </c>
      <c r="K94" s="6">
        <f>KDK[[#This Row],[Round Total Brick]]*KDK[[#This Row],[Amount of pre brick]]</f>
        <v>0</v>
      </c>
    </row>
    <row r="95" spans="1:11" x14ac:dyDescent="0.25">
      <c r="A95" s="22">
        <f t="shared" si="11"/>
        <v>94</v>
      </c>
      <c r="B95" s="17">
        <v>45578</v>
      </c>
      <c r="C95" s="4" t="str">
        <f>TEXT(KDK[[#This Row],[Date]],"dddd")</f>
        <v>Sunday</v>
      </c>
      <c r="D95" s="4">
        <f>WEEKNUM(KDK[[#This Row],[Date]],2)</f>
        <v>41</v>
      </c>
      <c r="E95" s="14" t="s">
        <v>38</v>
      </c>
      <c r="F95" s="14">
        <f t="shared" si="15"/>
        <v>0</v>
      </c>
      <c r="G95" s="14">
        <f t="shared" si="16"/>
        <v>0</v>
      </c>
      <c r="H95" s="4">
        <f>KDK[[#This Row],[Brick]]*KDK[[#This Row],[Line]]</f>
        <v>0</v>
      </c>
      <c r="I9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5" s="4">
        <f t="shared" si="17"/>
        <v>1.5</v>
      </c>
      <c r="K95" s="6">
        <f>KDK[[#This Row],[Round Total Brick]]*KDK[[#This Row],[Amount of pre brick]]</f>
        <v>0</v>
      </c>
    </row>
    <row r="96" spans="1:11" x14ac:dyDescent="0.25">
      <c r="A96" s="22">
        <f t="shared" si="11"/>
        <v>95</v>
      </c>
      <c r="B96" s="17">
        <v>45578</v>
      </c>
      <c r="C96" s="4" t="str">
        <f>TEXT(KDK[[#This Row],[Date]],"dddd")</f>
        <v>Sunday</v>
      </c>
      <c r="D96" s="4">
        <f>WEEKNUM(KDK[[#This Row],[Date]],2)</f>
        <v>41</v>
      </c>
      <c r="E96" s="14" t="s">
        <v>26</v>
      </c>
      <c r="F96" s="14">
        <f t="shared" si="15"/>
        <v>0</v>
      </c>
      <c r="G96" s="14">
        <f t="shared" si="16"/>
        <v>0</v>
      </c>
      <c r="H96" s="4">
        <f>KDK[[#This Row],[Brick]]*KDK[[#This Row],[Line]]</f>
        <v>0</v>
      </c>
      <c r="I9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6" s="4">
        <f t="shared" ref="J96:J138" si="18">_xlfn.IFNA(1.5,0)</f>
        <v>1.5</v>
      </c>
      <c r="K96" s="6">
        <f>KDK[[#This Row],[Round Total Brick]]*KDK[[#This Row],[Amount of pre brick]]</f>
        <v>0</v>
      </c>
    </row>
    <row r="97" spans="1:11" x14ac:dyDescent="0.25">
      <c r="A97" s="22">
        <f t="shared" si="11"/>
        <v>96</v>
      </c>
      <c r="B97" s="17">
        <v>45578</v>
      </c>
      <c r="C97" s="4" t="str">
        <f>TEXT(KDK[[#This Row],[Date]],"dddd")</f>
        <v>Sunday</v>
      </c>
      <c r="D97" s="4">
        <f>WEEKNUM(KDK[[#This Row],[Date]],2)</f>
        <v>41</v>
      </c>
      <c r="E97" s="14" t="s">
        <v>28</v>
      </c>
      <c r="F97" s="14">
        <f t="shared" si="15"/>
        <v>0</v>
      </c>
      <c r="G97" s="14">
        <f t="shared" si="16"/>
        <v>0</v>
      </c>
      <c r="H97" s="4">
        <f>KDK[[#This Row],[Brick]]*KDK[[#This Row],[Line]]</f>
        <v>0</v>
      </c>
      <c r="I9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7" s="4">
        <f t="shared" si="18"/>
        <v>1.5</v>
      </c>
      <c r="K97" s="6">
        <f>KDK[[#This Row],[Round Total Brick]]*KDK[[#This Row],[Amount of pre brick]]</f>
        <v>0</v>
      </c>
    </row>
    <row r="98" spans="1:11" x14ac:dyDescent="0.25">
      <c r="A98" s="22">
        <f t="shared" ref="A98:A129" si="19">ROW()-1</f>
        <v>97</v>
      </c>
      <c r="B98" s="17">
        <v>45578</v>
      </c>
      <c r="C98" s="4" t="str">
        <f>TEXT(KDK[[#This Row],[Date]],"dddd")</f>
        <v>Sunday</v>
      </c>
      <c r="D98" s="4">
        <f>WEEKNUM(KDK[[#This Row],[Date]],2)</f>
        <v>41</v>
      </c>
      <c r="E98" s="14" t="s">
        <v>17</v>
      </c>
      <c r="F98" s="14">
        <f t="shared" si="15"/>
        <v>0</v>
      </c>
      <c r="G98" s="14">
        <f t="shared" si="16"/>
        <v>0</v>
      </c>
      <c r="H98" s="4">
        <f>KDK[[#This Row],[Brick]]*KDK[[#This Row],[Line]]</f>
        <v>0</v>
      </c>
      <c r="I9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8" s="4">
        <f t="shared" si="18"/>
        <v>1.5</v>
      </c>
      <c r="K98" s="6">
        <f>KDK[[#This Row],[Round Total Brick]]*KDK[[#This Row],[Amount of pre brick]]</f>
        <v>0</v>
      </c>
    </row>
    <row r="99" spans="1:11" x14ac:dyDescent="0.25">
      <c r="A99" s="22">
        <f t="shared" si="19"/>
        <v>98</v>
      </c>
      <c r="B99" s="17">
        <v>45578</v>
      </c>
      <c r="C99" s="4" t="str">
        <f>TEXT(KDK[[#This Row],[Date]],"dddd")</f>
        <v>Sunday</v>
      </c>
      <c r="D99" s="4">
        <f>WEEKNUM(KDK[[#This Row],[Date]],2)</f>
        <v>41</v>
      </c>
      <c r="E99" s="14" t="s">
        <v>9</v>
      </c>
      <c r="F99" s="14">
        <f t="shared" si="15"/>
        <v>0</v>
      </c>
      <c r="G99" s="14">
        <f t="shared" si="16"/>
        <v>0</v>
      </c>
      <c r="H99" s="4">
        <f>KDK[[#This Row],[Brick]]*KDK[[#This Row],[Line]]</f>
        <v>0</v>
      </c>
      <c r="I9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99" s="4">
        <f t="shared" si="18"/>
        <v>1.5</v>
      </c>
      <c r="K99" s="6">
        <f>KDK[[#This Row],[Round Total Brick]]*KDK[[#This Row],[Amount of pre brick]]</f>
        <v>0</v>
      </c>
    </row>
    <row r="100" spans="1:11" x14ac:dyDescent="0.25">
      <c r="A100" s="22">
        <f t="shared" si="19"/>
        <v>99</v>
      </c>
      <c r="B100" s="17">
        <v>45578</v>
      </c>
      <c r="C100" s="4" t="str">
        <f>TEXT(KDK[[#This Row],[Date]],"dddd")</f>
        <v>Sunday</v>
      </c>
      <c r="D100" s="4">
        <f>WEEKNUM(KDK[[#This Row],[Date]],2)</f>
        <v>41</v>
      </c>
      <c r="E100" s="14" t="s">
        <v>19</v>
      </c>
      <c r="F100" s="14">
        <f t="shared" si="15"/>
        <v>0</v>
      </c>
      <c r="G100" s="14">
        <f t="shared" si="16"/>
        <v>0</v>
      </c>
      <c r="H100" s="4">
        <f>KDK[[#This Row],[Brick]]*KDK[[#This Row],[Line]]</f>
        <v>0</v>
      </c>
      <c r="I10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0" s="4">
        <f t="shared" si="18"/>
        <v>1.5</v>
      </c>
      <c r="K100" s="6">
        <f>KDK[[#This Row],[Round Total Brick]]*KDK[[#This Row],[Amount of pre brick]]</f>
        <v>0</v>
      </c>
    </row>
    <row r="101" spans="1:11" x14ac:dyDescent="0.25">
      <c r="A101" s="22">
        <f t="shared" si="19"/>
        <v>100</v>
      </c>
      <c r="B101" s="17">
        <v>45578</v>
      </c>
      <c r="C101" s="4" t="str">
        <f>TEXT(KDK[[#This Row],[Date]],"dddd")</f>
        <v>Sunday</v>
      </c>
      <c r="D101" s="4">
        <f>WEEKNUM(KDK[[#This Row],[Date]],2)</f>
        <v>41</v>
      </c>
      <c r="E101" s="14" t="s">
        <v>18</v>
      </c>
      <c r="F101" s="14">
        <f t="shared" si="15"/>
        <v>0</v>
      </c>
      <c r="G101" s="14">
        <f t="shared" si="16"/>
        <v>0</v>
      </c>
      <c r="H101" s="4">
        <f>KDK[[#This Row],[Brick]]*KDK[[#This Row],[Line]]</f>
        <v>0</v>
      </c>
      <c r="I10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1" s="4">
        <f t="shared" si="18"/>
        <v>1.5</v>
      </c>
      <c r="K101" s="6">
        <f>KDK[[#This Row],[Round Total Brick]]*KDK[[#This Row],[Amount of pre brick]]</f>
        <v>0</v>
      </c>
    </row>
    <row r="102" spans="1:11" x14ac:dyDescent="0.25">
      <c r="A102" s="22">
        <f t="shared" si="19"/>
        <v>101</v>
      </c>
      <c r="B102" s="17">
        <v>45578</v>
      </c>
      <c r="C102" s="4" t="str">
        <f>TEXT(KDK[[#This Row],[Date]],"dddd")</f>
        <v>Sunday</v>
      </c>
      <c r="D102" s="4">
        <f>WEEKNUM(KDK[[#This Row],[Date]],2)</f>
        <v>41</v>
      </c>
      <c r="E102" s="14" t="s">
        <v>38</v>
      </c>
      <c r="F102" s="14">
        <f t="shared" si="15"/>
        <v>0</v>
      </c>
      <c r="G102" s="14">
        <f t="shared" si="16"/>
        <v>0</v>
      </c>
      <c r="H102" s="4">
        <f>KDK[[#This Row],[Brick]]*KDK[[#This Row],[Line]]</f>
        <v>0</v>
      </c>
      <c r="I10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2" s="4">
        <f t="shared" si="18"/>
        <v>1.5</v>
      </c>
      <c r="K102" s="6">
        <f>KDK[[#This Row],[Round Total Brick]]*KDK[[#This Row],[Amount of pre brick]]</f>
        <v>0</v>
      </c>
    </row>
    <row r="103" spans="1:11" x14ac:dyDescent="0.25">
      <c r="A103" s="22">
        <f t="shared" si="19"/>
        <v>102</v>
      </c>
      <c r="B103" s="17">
        <v>45579</v>
      </c>
      <c r="C103" s="4" t="str">
        <f>TEXT(KDK[[#This Row],[Date]],"dddd")</f>
        <v>Monday</v>
      </c>
      <c r="D103" s="4">
        <f>WEEKNUM(KDK[[#This Row],[Date]],2)</f>
        <v>42</v>
      </c>
      <c r="E103" s="14" t="s">
        <v>26</v>
      </c>
      <c r="F103" s="14">
        <f t="shared" si="15"/>
        <v>0</v>
      </c>
      <c r="G103" s="14">
        <f t="shared" si="16"/>
        <v>0</v>
      </c>
      <c r="H103" s="4">
        <f>KDK[[#This Row],[Brick]]*KDK[[#This Row],[Line]]</f>
        <v>0</v>
      </c>
      <c r="I10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3" s="4">
        <f t="shared" si="18"/>
        <v>1.5</v>
      </c>
      <c r="K103" s="6">
        <f>KDK[[#This Row],[Round Total Brick]]*KDK[[#This Row],[Amount of pre brick]]</f>
        <v>0</v>
      </c>
    </row>
    <row r="104" spans="1:11" x14ac:dyDescent="0.25">
      <c r="A104" s="22">
        <f t="shared" si="19"/>
        <v>103</v>
      </c>
      <c r="B104" s="17">
        <v>45579</v>
      </c>
      <c r="C104" s="4" t="str">
        <f>TEXT(KDK[[#This Row],[Date]],"dddd")</f>
        <v>Monday</v>
      </c>
      <c r="D104" s="4">
        <f>WEEKNUM(KDK[[#This Row],[Date]],2)</f>
        <v>42</v>
      </c>
      <c r="E104" s="14" t="s">
        <v>28</v>
      </c>
      <c r="F104" s="14">
        <f t="shared" si="15"/>
        <v>0</v>
      </c>
      <c r="G104" s="14">
        <f t="shared" si="16"/>
        <v>0</v>
      </c>
      <c r="H104" s="4">
        <f>KDK[[#This Row],[Brick]]*KDK[[#This Row],[Line]]</f>
        <v>0</v>
      </c>
      <c r="I10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4" s="4">
        <f t="shared" si="18"/>
        <v>1.5</v>
      </c>
      <c r="K104" s="6">
        <f>KDK[[#This Row],[Round Total Brick]]*KDK[[#This Row],[Amount of pre brick]]</f>
        <v>0</v>
      </c>
    </row>
    <row r="105" spans="1:11" x14ac:dyDescent="0.25">
      <c r="A105" s="22">
        <f t="shared" si="19"/>
        <v>104</v>
      </c>
      <c r="B105" s="17">
        <v>45579</v>
      </c>
      <c r="C105" s="4" t="str">
        <f>TEXT(KDK[[#This Row],[Date]],"dddd")</f>
        <v>Monday</v>
      </c>
      <c r="D105" s="4">
        <f>WEEKNUM(KDK[[#This Row],[Date]],2)</f>
        <v>42</v>
      </c>
      <c r="E105" s="14" t="s">
        <v>17</v>
      </c>
      <c r="F105" s="14">
        <f t="shared" si="15"/>
        <v>0</v>
      </c>
      <c r="G105" s="14">
        <f t="shared" si="16"/>
        <v>0</v>
      </c>
      <c r="H105" s="4">
        <f>KDK[[#This Row],[Brick]]*KDK[[#This Row],[Line]]</f>
        <v>0</v>
      </c>
      <c r="I10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5" s="4">
        <f t="shared" si="18"/>
        <v>1.5</v>
      </c>
      <c r="K105" s="6">
        <f>KDK[[#This Row],[Round Total Brick]]*KDK[[#This Row],[Amount of pre brick]]</f>
        <v>0</v>
      </c>
    </row>
    <row r="106" spans="1:11" x14ac:dyDescent="0.25">
      <c r="A106" s="22">
        <f t="shared" si="19"/>
        <v>105</v>
      </c>
      <c r="B106" s="17">
        <v>45579</v>
      </c>
      <c r="C106" s="4" t="str">
        <f>TEXT(KDK[[#This Row],[Date]],"dddd")</f>
        <v>Monday</v>
      </c>
      <c r="D106" s="4">
        <f>WEEKNUM(KDK[[#This Row],[Date]],2)</f>
        <v>42</v>
      </c>
      <c r="E106" s="14" t="s">
        <v>9</v>
      </c>
      <c r="F106" s="14">
        <f t="shared" si="15"/>
        <v>0</v>
      </c>
      <c r="G106" s="14">
        <f t="shared" si="16"/>
        <v>0</v>
      </c>
      <c r="H106" s="4">
        <f>KDK[[#This Row],[Brick]]*KDK[[#This Row],[Line]]</f>
        <v>0</v>
      </c>
      <c r="I10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6" s="4">
        <f t="shared" si="18"/>
        <v>1.5</v>
      </c>
      <c r="K106" s="6">
        <f>KDK[[#This Row],[Round Total Brick]]*KDK[[#This Row],[Amount of pre brick]]</f>
        <v>0</v>
      </c>
    </row>
    <row r="107" spans="1:11" x14ac:dyDescent="0.25">
      <c r="A107" s="22">
        <f t="shared" si="19"/>
        <v>106</v>
      </c>
      <c r="B107" s="17">
        <v>45579</v>
      </c>
      <c r="C107" s="4" t="str">
        <f>TEXT(KDK[[#This Row],[Date]],"dddd")</f>
        <v>Monday</v>
      </c>
      <c r="D107" s="4">
        <f>WEEKNUM(KDK[[#This Row],[Date]],2)</f>
        <v>42</v>
      </c>
      <c r="E107" s="14" t="s">
        <v>19</v>
      </c>
      <c r="F107" s="14">
        <f t="shared" si="15"/>
        <v>0</v>
      </c>
      <c r="G107" s="14">
        <f t="shared" si="16"/>
        <v>0</v>
      </c>
      <c r="H107" s="4">
        <f>KDK[[#This Row],[Brick]]*KDK[[#This Row],[Line]]</f>
        <v>0</v>
      </c>
      <c r="I10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7" s="4">
        <f t="shared" si="18"/>
        <v>1.5</v>
      </c>
      <c r="K107" s="6">
        <f>KDK[[#This Row],[Round Total Brick]]*KDK[[#This Row],[Amount of pre brick]]</f>
        <v>0</v>
      </c>
    </row>
    <row r="108" spans="1:11" x14ac:dyDescent="0.25">
      <c r="A108" s="22">
        <f t="shared" si="19"/>
        <v>107</v>
      </c>
      <c r="B108" s="17">
        <v>45579</v>
      </c>
      <c r="C108" s="4" t="str">
        <f>TEXT(KDK[[#This Row],[Date]],"dddd")</f>
        <v>Monday</v>
      </c>
      <c r="D108" s="4">
        <f>WEEKNUM(KDK[[#This Row],[Date]],2)</f>
        <v>42</v>
      </c>
      <c r="E108" s="14" t="s">
        <v>18</v>
      </c>
      <c r="F108" s="14">
        <f t="shared" si="15"/>
        <v>0</v>
      </c>
      <c r="G108" s="14">
        <f t="shared" si="16"/>
        <v>0</v>
      </c>
      <c r="H108" s="4">
        <f>KDK[[#This Row],[Brick]]*KDK[[#This Row],[Line]]</f>
        <v>0</v>
      </c>
      <c r="I10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8" s="4">
        <f t="shared" si="18"/>
        <v>1.5</v>
      </c>
      <c r="K108" s="6">
        <f>KDK[[#This Row],[Round Total Brick]]*KDK[[#This Row],[Amount of pre brick]]</f>
        <v>0</v>
      </c>
    </row>
    <row r="109" spans="1:11" x14ac:dyDescent="0.25">
      <c r="A109" s="22">
        <f t="shared" si="19"/>
        <v>108</v>
      </c>
      <c r="B109" s="17">
        <v>45579</v>
      </c>
      <c r="C109" s="4" t="str">
        <f>TEXT(KDK[[#This Row],[Date]],"dddd")</f>
        <v>Monday</v>
      </c>
      <c r="D109" s="4">
        <f>WEEKNUM(KDK[[#This Row],[Date]],2)</f>
        <v>42</v>
      </c>
      <c r="E109" s="14" t="s">
        <v>38</v>
      </c>
      <c r="F109" s="14">
        <f t="shared" si="15"/>
        <v>0</v>
      </c>
      <c r="G109" s="14">
        <f t="shared" si="16"/>
        <v>0</v>
      </c>
      <c r="H109" s="4">
        <f>KDK[[#This Row],[Brick]]*KDK[[#This Row],[Line]]</f>
        <v>0</v>
      </c>
      <c r="I10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09" s="4">
        <f t="shared" si="18"/>
        <v>1.5</v>
      </c>
      <c r="K109" s="6">
        <f>KDK[[#This Row],[Round Total Brick]]*KDK[[#This Row],[Amount of pre brick]]</f>
        <v>0</v>
      </c>
    </row>
    <row r="110" spans="1:11" x14ac:dyDescent="0.25">
      <c r="A110" s="22">
        <f t="shared" si="19"/>
        <v>109</v>
      </c>
      <c r="B110" s="17">
        <v>45580</v>
      </c>
      <c r="C110" s="4" t="str">
        <f>TEXT(KDK[[#This Row],[Date]],"dddd")</f>
        <v>Tuesday</v>
      </c>
      <c r="D110" s="4">
        <f>WEEKNUM(KDK[[#This Row],[Date]],2)</f>
        <v>42</v>
      </c>
      <c r="E110" s="14" t="s">
        <v>26</v>
      </c>
      <c r="F110" s="14">
        <f t="shared" si="15"/>
        <v>0</v>
      </c>
      <c r="G110" s="14">
        <f t="shared" si="16"/>
        <v>0</v>
      </c>
      <c r="H110" s="4">
        <f>KDK[[#This Row],[Brick]]*KDK[[#This Row],[Line]]</f>
        <v>0</v>
      </c>
      <c r="I11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0" s="4">
        <f t="shared" si="18"/>
        <v>1.5</v>
      </c>
      <c r="K110" s="6">
        <f>KDK[[#This Row],[Round Total Brick]]*KDK[[#This Row],[Amount of pre brick]]</f>
        <v>0</v>
      </c>
    </row>
    <row r="111" spans="1:11" x14ac:dyDescent="0.25">
      <c r="A111" s="22">
        <f t="shared" si="19"/>
        <v>110</v>
      </c>
      <c r="B111" s="17">
        <v>45580</v>
      </c>
      <c r="C111" s="4" t="str">
        <f>TEXT(KDK[[#This Row],[Date]],"dddd")</f>
        <v>Tuesday</v>
      </c>
      <c r="D111" s="4">
        <f>WEEKNUM(KDK[[#This Row],[Date]],2)</f>
        <v>42</v>
      </c>
      <c r="E111" s="14" t="s">
        <v>28</v>
      </c>
      <c r="F111" s="14">
        <f t="shared" si="15"/>
        <v>0</v>
      </c>
      <c r="G111" s="14">
        <f t="shared" si="16"/>
        <v>0</v>
      </c>
      <c r="H111" s="4">
        <f>KDK[[#This Row],[Brick]]*KDK[[#This Row],[Line]]</f>
        <v>0</v>
      </c>
      <c r="I11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1" s="4">
        <f t="shared" si="18"/>
        <v>1.5</v>
      </c>
      <c r="K111" s="6">
        <f>KDK[[#This Row],[Round Total Brick]]*KDK[[#This Row],[Amount of pre brick]]</f>
        <v>0</v>
      </c>
    </row>
    <row r="112" spans="1:11" x14ac:dyDescent="0.25">
      <c r="A112" s="22">
        <f t="shared" si="19"/>
        <v>111</v>
      </c>
      <c r="B112" s="17">
        <v>45580</v>
      </c>
      <c r="C112" s="4" t="str">
        <f>TEXT(KDK[[#This Row],[Date]],"dddd")</f>
        <v>Tuesday</v>
      </c>
      <c r="D112" s="4">
        <f>WEEKNUM(KDK[[#This Row],[Date]],2)</f>
        <v>42</v>
      </c>
      <c r="E112" s="14" t="s">
        <v>17</v>
      </c>
      <c r="F112" s="14">
        <f t="shared" si="15"/>
        <v>0</v>
      </c>
      <c r="G112" s="14">
        <f t="shared" si="16"/>
        <v>0</v>
      </c>
      <c r="H112" s="4">
        <f>KDK[[#This Row],[Brick]]*KDK[[#This Row],[Line]]</f>
        <v>0</v>
      </c>
      <c r="I11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2" s="4">
        <f t="shared" si="18"/>
        <v>1.5</v>
      </c>
      <c r="K112" s="6">
        <f>KDK[[#This Row],[Round Total Brick]]*KDK[[#This Row],[Amount of pre brick]]</f>
        <v>0</v>
      </c>
    </row>
    <row r="113" spans="1:11" x14ac:dyDescent="0.25">
      <c r="A113" s="22">
        <f t="shared" si="19"/>
        <v>112</v>
      </c>
      <c r="B113" s="17">
        <v>45580</v>
      </c>
      <c r="C113" s="4" t="str">
        <f>TEXT(KDK[[#This Row],[Date]],"dddd")</f>
        <v>Tuesday</v>
      </c>
      <c r="D113" s="4">
        <f>WEEKNUM(KDK[[#This Row],[Date]],2)</f>
        <v>42</v>
      </c>
      <c r="E113" s="14" t="s">
        <v>9</v>
      </c>
      <c r="F113" s="14">
        <f t="shared" si="15"/>
        <v>0</v>
      </c>
      <c r="G113" s="14">
        <f t="shared" si="16"/>
        <v>0</v>
      </c>
      <c r="H113" s="4">
        <f>KDK[[#This Row],[Brick]]*KDK[[#This Row],[Line]]</f>
        <v>0</v>
      </c>
      <c r="I11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3" s="4">
        <f t="shared" si="18"/>
        <v>1.5</v>
      </c>
      <c r="K113" s="6">
        <f>KDK[[#This Row],[Round Total Brick]]*KDK[[#This Row],[Amount of pre brick]]</f>
        <v>0</v>
      </c>
    </row>
    <row r="114" spans="1:11" x14ac:dyDescent="0.25">
      <c r="A114" s="22">
        <f t="shared" si="19"/>
        <v>113</v>
      </c>
      <c r="B114" s="17">
        <v>45580</v>
      </c>
      <c r="C114" s="4" t="str">
        <f>TEXT(KDK[[#This Row],[Date]],"dddd")</f>
        <v>Tuesday</v>
      </c>
      <c r="D114" s="4">
        <f>WEEKNUM(KDK[[#This Row],[Date]],2)</f>
        <v>42</v>
      </c>
      <c r="E114" s="14" t="s">
        <v>19</v>
      </c>
      <c r="F114" s="14">
        <f t="shared" si="15"/>
        <v>0</v>
      </c>
      <c r="G114" s="14">
        <f t="shared" si="16"/>
        <v>0</v>
      </c>
      <c r="H114" s="4">
        <f>KDK[[#This Row],[Brick]]*KDK[[#This Row],[Line]]</f>
        <v>0</v>
      </c>
      <c r="I11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4" s="4">
        <f t="shared" si="18"/>
        <v>1.5</v>
      </c>
      <c r="K114" s="6">
        <f>KDK[[#This Row],[Round Total Brick]]*KDK[[#This Row],[Amount of pre brick]]</f>
        <v>0</v>
      </c>
    </row>
    <row r="115" spans="1:11" x14ac:dyDescent="0.25">
      <c r="A115" s="22">
        <f t="shared" si="19"/>
        <v>114</v>
      </c>
      <c r="B115" s="17">
        <v>45580</v>
      </c>
      <c r="C115" s="4" t="str">
        <f>TEXT(KDK[[#This Row],[Date]],"dddd")</f>
        <v>Tuesday</v>
      </c>
      <c r="D115" s="4">
        <f>WEEKNUM(KDK[[#This Row],[Date]],2)</f>
        <v>42</v>
      </c>
      <c r="E115" s="14" t="s">
        <v>18</v>
      </c>
      <c r="F115" s="14">
        <f t="shared" si="15"/>
        <v>0</v>
      </c>
      <c r="G115" s="14">
        <f t="shared" si="16"/>
        <v>0</v>
      </c>
      <c r="H115" s="4">
        <f>KDK[[#This Row],[Brick]]*KDK[[#This Row],[Line]]</f>
        <v>0</v>
      </c>
      <c r="I11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5" s="4">
        <f t="shared" si="18"/>
        <v>1.5</v>
      </c>
      <c r="K115" s="6">
        <f>KDK[[#This Row],[Round Total Brick]]*KDK[[#This Row],[Amount of pre brick]]</f>
        <v>0</v>
      </c>
    </row>
    <row r="116" spans="1:11" x14ac:dyDescent="0.25">
      <c r="A116" s="22">
        <f t="shared" si="19"/>
        <v>115</v>
      </c>
      <c r="B116" s="17">
        <v>45580</v>
      </c>
      <c r="C116" s="4" t="str">
        <f>TEXT(KDK[[#This Row],[Date]],"dddd")</f>
        <v>Tuesday</v>
      </c>
      <c r="D116" s="4">
        <f>WEEKNUM(KDK[[#This Row],[Date]],2)</f>
        <v>42</v>
      </c>
      <c r="E116" s="14" t="s">
        <v>38</v>
      </c>
      <c r="F116" s="14">
        <f t="shared" si="15"/>
        <v>0</v>
      </c>
      <c r="G116" s="14">
        <f t="shared" si="16"/>
        <v>0</v>
      </c>
      <c r="H116" s="4">
        <f>KDK[[#This Row],[Brick]]*KDK[[#This Row],[Line]]</f>
        <v>0</v>
      </c>
      <c r="I11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6" s="4">
        <f t="shared" si="18"/>
        <v>1.5</v>
      </c>
      <c r="K116" s="6">
        <f>KDK[[#This Row],[Round Total Brick]]*KDK[[#This Row],[Amount of pre brick]]</f>
        <v>0</v>
      </c>
    </row>
    <row r="117" spans="1:11" x14ac:dyDescent="0.25">
      <c r="A117" s="22">
        <f t="shared" si="19"/>
        <v>116</v>
      </c>
      <c r="B117" s="17">
        <v>45581</v>
      </c>
      <c r="C117" s="4" t="str">
        <f>TEXT(KDK[[#This Row],[Date]],"dddd")</f>
        <v>Wednesday</v>
      </c>
      <c r="D117" s="4">
        <f>WEEKNUM(KDK[[#This Row],[Date]],2)</f>
        <v>42</v>
      </c>
      <c r="E117" s="14" t="s">
        <v>26</v>
      </c>
      <c r="F117" s="14">
        <f t="shared" si="15"/>
        <v>0</v>
      </c>
      <c r="G117" s="14">
        <f t="shared" si="16"/>
        <v>0</v>
      </c>
      <c r="H117" s="4">
        <f>KDK[[#This Row],[Brick]]*KDK[[#This Row],[Line]]</f>
        <v>0</v>
      </c>
      <c r="I11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7" s="4">
        <f t="shared" si="18"/>
        <v>1.5</v>
      </c>
      <c r="K117" s="6">
        <f>KDK[[#This Row],[Round Total Brick]]*KDK[[#This Row],[Amount of pre brick]]</f>
        <v>0</v>
      </c>
    </row>
    <row r="118" spans="1:11" x14ac:dyDescent="0.25">
      <c r="A118" s="22">
        <f t="shared" si="19"/>
        <v>117</v>
      </c>
      <c r="B118" s="17">
        <v>45581</v>
      </c>
      <c r="C118" s="4" t="str">
        <f>TEXT(KDK[[#This Row],[Date]],"dddd")</f>
        <v>Wednesday</v>
      </c>
      <c r="D118" s="4">
        <f>WEEKNUM(KDK[[#This Row],[Date]],2)</f>
        <v>42</v>
      </c>
      <c r="E118" s="14" t="s">
        <v>28</v>
      </c>
      <c r="F118" s="14">
        <f t="shared" si="15"/>
        <v>0</v>
      </c>
      <c r="G118" s="14">
        <f t="shared" si="16"/>
        <v>0</v>
      </c>
      <c r="H118" s="4">
        <f>KDK[[#This Row],[Brick]]*KDK[[#This Row],[Line]]</f>
        <v>0</v>
      </c>
      <c r="I11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8" s="4">
        <f t="shared" si="18"/>
        <v>1.5</v>
      </c>
      <c r="K118" s="6">
        <f>KDK[[#This Row],[Round Total Brick]]*KDK[[#This Row],[Amount of pre brick]]</f>
        <v>0</v>
      </c>
    </row>
    <row r="119" spans="1:11" x14ac:dyDescent="0.25">
      <c r="A119" s="22">
        <f t="shared" si="19"/>
        <v>118</v>
      </c>
      <c r="B119" s="17">
        <v>45581</v>
      </c>
      <c r="C119" s="4" t="str">
        <f>TEXT(KDK[[#This Row],[Date]],"dddd")</f>
        <v>Wednesday</v>
      </c>
      <c r="D119" s="4">
        <f>WEEKNUM(KDK[[#This Row],[Date]],2)</f>
        <v>42</v>
      </c>
      <c r="E119" s="14" t="s">
        <v>17</v>
      </c>
      <c r="F119" s="14">
        <f t="shared" si="15"/>
        <v>0</v>
      </c>
      <c r="G119" s="14">
        <f t="shared" si="16"/>
        <v>0</v>
      </c>
      <c r="H119" s="4">
        <f>KDK[[#This Row],[Brick]]*KDK[[#This Row],[Line]]</f>
        <v>0</v>
      </c>
      <c r="I11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19" s="4">
        <f t="shared" si="18"/>
        <v>1.5</v>
      </c>
      <c r="K119" s="6">
        <f>KDK[[#This Row],[Round Total Brick]]*KDK[[#This Row],[Amount of pre brick]]</f>
        <v>0</v>
      </c>
    </row>
    <row r="120" spans="1:11" x14ac:dyDescent="0.25">
      <c r="A120" s="22">
        <f t="shared" si="19"/>
        <v>119</v>
      </c>
      <c r="B120" s="17">
        <v>45581</v>
      </c>
      <c r="C120" s="4" t="str">
        <f>TEXT(KDK[[#This Row],[Date]],"dddd")</f>
        <v>Wednesday</v>
      </c>
      <c r="D120" s="4">
        <f>WEEKNUM(KDK[[#This Row],[Date]],2)</f>
        <v>42</v>
      </c>
      <c r="E120" s="14" t="s">
        <v>9</v>
      </c>
      <c r="F120" s="14">
        <f t="shared" si="15"/>
        <v>0</v>
      </c>
      <c r="G120" s="14">
        <f t="shared" si="16"/>
        <v>0</v>
      </c>
      <c r="H120" s="4">
        <f>KDK[[#This Row],[Brick]]*KDK[[#This Row],[Line]]</f>
        <v>0</v>
      </c>
      <c r="I12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0" s="4">
        <f t="shared" si="18"/>
        <v>1.5</v>
      </c>
      <c r="K120" s="6">
        <f>KDK[[#This Row],[Round Total Brick]]*KDK[[#This Row],[Amount of pre brick]]</f>
        <v>0</v>
      </c>
    </row>
    <row r="121" spans="1:11" x14ac:dyDescent="0.25">
      <c r="A121" s="22">
        <f t="shared" si="19"/>
        <v>120</v>
      </c>
      <c r="B121" s="17">
        <v>45581</v>
      </c>
      <c r="C121" s="4" t="str">
        <f>TEXT(KDK[[#This Row],[Date]],"dddd")</f>
        <v>Wednesday</v>
      </c>
      <c r="D121" s="4">
        <f>WEEKNUM(KDK[[#This Row],[Date]],2)</f>
        <v>42</v>
      </c>
      <c r="E121" s="14" t="s">
        <v>19</v>
      </c>
      <c r="F121" s="14">
        <f t="shared" si="15"/>
        <v>0</v>
      </c>
      <c r="G121" s="14">
        <f t="shared" si="16"/>
        <v>0</v>
      </c>
      <c r="H121" s="4">
        <f>KDK[[#This Row],[Brick]]*KDK[[#This Row],[Line]]</f>
        <v>0</v>
      </c>
      <c r="I12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1" s="4">
        <f t="shared" si="18"/>
        <v>1.5</v>
      </c>
      <c r="K121" s="6">
        <f>KDK[[#This Row],[Round Total Brick]]*KDK[[#This Row],[Amount of pre brick]]</f>
        <v>0</v>
      </c>
    </row>
    <row r="122" spans="1:11" x14ac:dyDescent="0.25">
      <c r="A122" s="22">
        <f t="shared" si="19"/>
        <v>121</v>
      </c>
      <c r="B122" s="17">
        <v>45581</v>
      </c>
      <c r="C122" s="4" t="str">
        <f>TEXT(KDK[[#This Row],[Date]],"dddd")</f>
        <v>Wednesday</v>
      </c>
      <c r="D122" s="4">
        <f>WEEKNUM(KDK[[#This Row],[Date]],2)</f>
        <v>42</v>
      </c>
      <c r="E122" s="14" t="s">
        <v>18</v>
      </c>
      <c r="F122" s="14">
        <f t="shared" si="15"/>
        <v>0</v>
      </c>
      <c r="G122" s="14">
        <f t="shared" si="16"/>
        <v>0</v>
      </c>
      <c r="H122" s="4">
        <f>KDK[[#This Row],[Brick]]*KDK[[#This Row],[Line]]</f>
        <v>0</v>
      </c>
      <c r="I12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2" s="4">
        <f t="shared" si="18"/>
        <v>1.5</v>
      </c>
      <c r="K122" s="6">
        <f>KDK[[#This Row],[Round Total Brick]]*KDK[[#This Row],[Amount of pre brick]]</f>
        <v>0</v>
      </c>
    </row>
    <row r="123" spans="1:11" x14ac:dyDescent="0.25">
      <c r="A123" s="22">
        <f t="shared" si="19"/>
        <v>122</v>
      </c>
      <c r="B123" s="17">
        <v>45581</v>
      </c>
      <c r="C123" s="4" t="str">
        <f>TEXT(KDK[[#This Row],[Date]],"dddd")</f>
        <v>Wednesday</v>
      </c>
      <c r="D123" s="4">
        <f>WEEKNUM(KDK[[#This Row],[Date]],2)</f>
        <v>42</v>
      </c>
      <c r="E123" s="14" t="s">
        <v>38</v>
      </c>
      <c r="F123" s="14">
        <f t="shared" si="15"/>
        <v>0</v>
      </c>
      <c r="G123" s="14">
        <f t="shared" si="16"/>
        <v>0</v>
      </c>
      <c r="H123" s="4">
        <f>KDK[[#This Row],[Brick]]*KDK[[#This Row],[Line]]</f>
        <v>0</v>
      </c>
      <c r="I12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3" s="4">
        <f t="shared" si="18"/>
        <v>1.5</v>
      </c>
      <c r="K123" s="6">
        <f>KDK[[#This Row],[Round Total Brick]]*KDK[[#This Row],[Amount of pre brick]]</f>
        <v>0</v>
      </c>
    </row>
    <row r="124" spans="1:11" x14ac:dyDescent="0.25">
      <c r="A124" s="22">
        <f t="shared" si="19"/>
        <v>123</v>
      </c>
      <c r="B124" s="17">
        <v>45582</v>
      </c>
      <c r="C124" s="4" t="str">
        <f>TEXT(KDK[[#This Row],[Date]],"dddd")</f>
        <v>Thursday</v>
      </c>
      <c r="D124" s="4">
        <f>WEEKNUM(KDK[[#This Row],[Date]],2)</f>
        <v>42</v>
      </c>
      <c r="E124" s="14" t="s">
        <v>26</v>
      </c>
      <c r="F124" s="14">
        <f t="shared" si="15"/>
        <v>0</v>
      </c>
      <c r="G124" s="14">
        <f t="shared" si="16"/>
        <v>0</v>
      </c>
      <c r="H124" s="4">
        <f>KDK[[#This Row],[Brick]]*KDK[[#This Row],[Line]]</f>
        <v>0</v>
      </c>
      <c r="I12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4" s="4">
        <f t="shared" si="18"/>
        <v>1.5</v>
      </c>
      <c r="K124" s="6">
        <f>KDK[[#This Row],[Round Total Brick]]*KDK[[#This Row],[Amount of pre brick]]</f>
        <v>0</v>
      </c>
    </row>
    <row r="125" spans="1:11" x14ac:dyDescent="0.25">
      <c r="A125" s="22">
        <f t="shared" si="19"/>
        <v>124</v>
      </c>
      <c r="B125" s="17">
        <v>45582</v>
      </c>
      <c r="C125" s="4" t="str">
        <f>TEXT(KDK[[#This Row],[Date]],"dddd")</f>
        <v>Thursday</v>
      </c>
      <c r="D125" s="4">
        <f>WEEKNUM(KDK[[#This Row],[Date]],2)</f>
        <v>42</v>
      </c>
      <c r="E125" s="14" t="s">
        <v>28</v>
      </c>
      <c r="F125" s="14">
        <f t="shared" si="15"/>
        <v>0</v>
      </c>
      <c r="G125" s="14">
        <f t="shared" si="16"/>
        <v>0</v>
      </c>
      <c r="H125" s="4">
        <f>KDK[[#This Row],[Brick]]*KDK[[#This Row],[Line]]</f>
        <v>0</v>
      </c>
      <c r="I12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5" s="4">
        <f t="shared" si="18"/>
        <v>1.5</v>
      </c>
      <c r="K125" s="6">
        <f>KDK[[#This Row],[Round Total Brick]]*KDK[[#This Row],[Amount of pre brick]]</f>
        <v>0</v>
      </c>
    </row>
    <row r="126" spans="1:11" x14ac:dyDescent="0.25">
      <c r="A126" s="22">
        <f t="shared" si="19"/>
        <v>125</v>
      </c>
      <c r="B126" s="17">
        <v>45582</v>
      </c>
      <c r="C126" s="4" t="str">
        <f>TEXT(KDK[[#This Row],[Date]],"dddd")</f>
        <v>Thursday</v>
      </c>
      <c r="D126" s="4">
        <f>WEEKNUM(KDK[[#This Row],[Date]],2)</f>
        <v>42</v>
      </c>
      <c r="E126" s="14" t="s">
        <v>17</v>
      </c>
      <c r="F126" s="14">
        <f t="shared" si="15"/>
        <v>0</v>
      </c>
      <c r="G126" s="14">
        <f t="shared" si="16"/>
        <v>0</v>
      </c>
      <c r="H126" s="4">
        <f>KDK[[#This Row],[Brick]]*KDK[[#This Row],[Line]]</f>
        <v>0</v>
      </c>
      <c r="I12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6" s="4">
        <f t="shared" si="18"/>
        <v>1.5</v>
      </c>
      <c r="K126" s="6">
        <f>KDK[[#This Row],[Round Total Brick]]*KDK[[#This Row],[Amount of pre brick]]</f>
        <v>0</v>
      </c>
    </row>
    <row r="127" spans="1:11" x14ac:dyDescent="0.25">
      <c r="A127" s="22">
        <f t="shared" si="19"/>
        <v>126</v>
      </c>
      <c r="B127" s="17">
        <v>45582</v>
      </c>
      <c r="C127" s="4" t="str">
        <f>TEXT(KDK[[#This Row],[Date]],"dddd")</f>
        <v>Thursday</v>
      </c>
      <c r="D127" s="4">
        <f>WEEKNUM(KDK[[#This Row],[Date]],2)</f>
        <v>42</v>
      </c>
      <c r="E127" s="14" t="s">
        <v>9</v>
      </c>
      <c r="F127" s="14">
        <v>32</v>
      </c>
      <c r="G127" s="14">
        <v>19</v>
      </c>
      <c r="H127" s="4">
        <f>KDK[[#This Row],[Brick]]*KDK[[#This Row],[Line]]</f>
        <v>608</v>
      </c>
      <c r="I12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600</v>
      </c>
      <c r="J127" s="4">
        <f t="shared" si="18"/>
        <v>1.5</v>
      </c>
      <c r="K127" s="6">
        <f>KDK[[#This Row],[Round Total Brick]]*KDK[[#This Row],[Amount of pre brick]]</f>
        <v>900</v>
      </c>
    </row>
    <row r="128" spans="1:11" x14ac:dyDescent="0.25">
      <c r="A128" s="22">
        <f t="shared" si="19"/>
        <v>127</v>
      </c>
      <c r="B128" s="17">
        <v>45582</v>
      </c>
      <c r="C128" s="4" t="str">
        <f>TEXT(KDK[[#This Row],[Date]],"dddd")</f>
        <v>Thursday</v>
      </c>
      <c r="D128" s="4">
        <f>WEEKNUM(KDK[[#This Row],[Date]],2)</f>
        <v>42</v>
      </c>
      <c r="E128" s="14" t="s">
        <v>19</v>
      </c>
      <c r="F128" s="14">
        <f t="shared" si="15"/>
        <v>0</v>
      </c>
      <c r="G128" s="14">
        <f t="shared" si="16"/>
        <v>0</v>
      </c>
      <c r="H128" s="4">
        <f>KDK[[#This Row],[Brick]]*KDK[[#This Row],[Line]]</f>
        <v>0</v>
      </c>
      <c r="I12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8" s="4">
        <f t="shared" si="18"/>
        <v>1.5</v>
      </c>
      <c r="K128" s="6">
        <f>KDK[[#This Row],[Round Total Brick]]*KDK[[#This Row],[Amount of pre brick]]</f>
        <v>0</v>
      </c>
    </row>
    <row r="129" spans="1:11" x14ac:dyDescent="0.25">
      <c r="A129" s="22">
        <f t="shared" si="19"/>
        <v>128</v>
      </c>
      <c r="B129" s="17">
        <v>45582</v>
      </c>
      <c r="C129" s="4" t="str">
        <f>TEXT(KDK[[#This Row],[Date]],"dddd")</f>
        <v>Thursday</v>
      </c>
      <c r="D129" s="4">
        <f>WEEKNUM(KDK[[#This Row],[Date]],2)</f>
        <v>42</v>
      </c>
      <c r="E129" s="14" t="s">
        <v>18</v>
      </c>
      <c r="F129" s="14">
        <f t="shared" si="15"/>
        <v>0</v>
      </c>
      <c r="G129" s="14">
        <f t="shared" si="16"/>
        <v>0</v>
      </c>
      <c r="H129" s="4">
        <f>KDK[[#This Row],[Brick]]*KDK[[#This Row],[Line]]</f>
        <v>0</v>
      </c>
      <c r="I12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29" s="4">
        <f t="shared" si="18"/>
        <v>1.5</v>
      </c>
      <c r="K129" s="6">
        <f>KDK[[#This Row],[Round Total Brick]]*KDK[[#This Row],[Amount of pre brick]]</f>
        <v>0</v>
      </c>
    </row>
    <row r="130" spans="1:11" x14ac:dyDescent="0.25">
      <c r="A130" s="22">
        <f t="shared" ref="A130:A161" si="20">ROW()-1</f>
        <v>129</v>
      </c>
      <c r="B130" s="17">
        <v>45582</v>
      </c>
      <c r="C130" s="4" t="str">
        <f>TEXT(KDK[[#This Row],[Date]],"dddd")</f>
        <v>Thursday</v>
      </c>
      <c r="D130" s="4">
        <f>WEEKNUM(KDK[[#This Row],[Date]],2)</f>
        <v>42</v>
      </c>
      <c r="E130" s="14" t="s">
        <v>38</v>
      </c>
      <c r="F130" s="14">
        <f t="shared" si="15"/>
        <v>0</v>
      </c>
      <c r="G130" s="14">
        <f t="shared" si="16"/>
        <v>0</v>
      </c>
      <c r="H130" s="4">
        <f>KDK[[#This Row],[Brick]]*KDK[[#This Row],[Line]]</f>
        <v>0</v>
      </c>
      <c r="I13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0" s="4">
        <f t="shared" si="18"/>
        <v>1.5</v>
      </c>
      <c r="K130" s="6">
        <f>KDK[[#This Row],[Round Total Brick]]*KDK[[#This Row],[Amount of pre brick]]</f>
        <v>0</v>
      </c>
    </row>
    <row r="131" spans="1:11" x14ac:dyDescent="0.25">
      <c r="A131" s="22">
        <f t="shared" si="20"/>
        <v>130</v>
      </c>
      <c r="B131" s="17">
        <v>45583</v>
      </c>
      <c r="C131" s="4" t="str">
        <f>TEXT(KDK[[#This Row],[Date]],"dddd")</f>
        <v>Friday</v>
      </c>
      <c r="D131" s="4">
        <f>WEEKNUM(KDK[[#This Row],[Date]],2)</f>
        <v>42</v>
      </c>
      <c r="E131" s="14" t="s">
        <v>26</v>
      </c>
      <c r="F131" s="14">
        <f t="shared" si="15"/>
        <v>0</v>
      </c>
      <c r="G131" s="14">
        <f t="shared" si="16"/>
        <v>0</v>
      </c>
      <c r="H131" s="4">
        <f>KDK[[#This Row],[Brick]]*KDK[[#This Row],[Line]]</f>
        <v>0</v>
      </c>
      <c r="I13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1" s="4">
        <f t="shared" si="18"/>
        <v>1.5</v>
      </c>
      <c r="K131" s="6">
        <f>KDK[[#This Row],[Round Total Brick]]*KDK[[#This Row],[Amount of pre brick]]</f>
        <v>0</v>
      </c>
    </row>
    <row r="132" spans="1:11" x14ac:dyDescent="0.25">
      <c r="A132" s="22">
        <f t="shared" si="20"/>
        <v>131</v>
      </c>
      <c r="B132" s="17">
        <v>45583</v>
      </c>
      <c r="C132" s="4" t="str">
        <f>TEXT(KDK[[#This Row],[Date]],"dddd")</f>
        <v>Friday</v>
      </c>
      <c r="D132" s="4">
        <f>WEEKNUM(KDK[[#This Row],[Date]],2)</f>
        <v>42</v>
      </c>
      <c r="E132" s="14" t="s">
        <v>28</v>
      </c>
      <c r="F132" s="14">
        <f t="shared" si="15"/>
        <v>0</v>
      </c>
      <c r="G132" s="14">
        <f t="shared" si="16"/>
        <v>0</v>
      </c>
      <c r="H132" s="4">
        <f>KDK[[#This Row],[Brick]]*KDK[[#This Row],[Line]]</f>
        <v>0</v>
      </c>
      <c r="I13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2" s="4">
        <f t="shared" si="18"/>
        <v>1.5</v>
      </c>
      <c r="K132" s="6">
        <f>KDK[[#This Row],[Round Total Brick]]*KDK[[#This Row],[Amount of pre brick]]</f>
        <v>0</v>
      </c>
    </row>
    <row r="133" spans="1:11" x14ac:dyDescent="0.25">
      <c r="A133" s="22">
        <f t="shared" si="20"/>
        <v>132</v>
      </c>
      <c r="B133" s="17">
        <v>45583</v>
      </c>
      <c r="C133" s="4" t="str">
        <f>TEXT(KDK[[#This Row],[Date]],"dddd")</f>
        <v>Friday</v>
      </c>
      <c r="D133" s="4">
        <f>WEEKNUM(KDK[[#This Row],[Date]],2)</f>
        <v>42</v>
      </c>
      <c r="E133" s="14" t="s">
        <v>17</v>
      </c>
      <c r="F133" s="14">
        <f>_xlfn.IFNA(0,0)</f>
        <v>0</v>
      </c>
      <c r="G133" s="14">
        <f t="shared" si="16"/>
        <v>0</v>
      </c>
      <c r="H133" s="4">
        <f>KDK[[#This Row],[Brick]]*KDK[[#This Row],[Line]]</f>
        <v>0</v>
      </c>
      <c r="I13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3" s="4">
        <f t="shared" si="18"/>
        <v>1.5</v>
      </c>
      <c r="K133" s="6">
        <f>KDK[[#This Row],[Round Total Brick]]*KDK[[#This Row],[Amount of pre brick]]</f>
        <v>0</v>
      </c>
    </row>
    <row r="134" spans="1:11" x14ac:dyDescent="0.25">
      <c r="A134" s="22">
        <f t="shared" si="20"/>
        <v>133</v>
      </c>
      <c r="B134" s="17">
        <v>45583</v>
      </c>
      <c r="C134" s="4" t="str">
        <f>TEXT(KDK[[#This Row],[Date]],"dddd")</f>
        <v>Friday</v>
      </c>
      <c r="D134" s="4">
        <f>WEEKNUM(KDK[[#This Row],[Date]],2)</f>
        <v>42</v>
      </c>
      <c r="E134" s="14" t="s">
        <v>9</v>
      </c>
      <c r="F134" s="14">
        <f t="shared" si="15"/>
        <v>0</v>
      </c>
      <c r="G134" s="14">
        <f t="shared" si="16"/>
        <v>0</v>
      </c>
      <c r="H134" s="4">
        <f>KDK[[#This Row],[Brick]]*KDK[[#This Row],[Line]]</f>
        <v>0</v>
      </c>
      <c r="I13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4" s="4">
        <f t="shared" si="18"/>
        <v>1.5</v>
      </c>
      <c r="K134" s="6">
        <f>KDK[[#This Row],[Round Total Brick]]*KDK[[#This Row],[Amount of pre brick]]</f>
        <v>0</v>
      </c>
    </row>
    <row r="135" spans="1:11" x14ac:dyDescent="0.25">
      <c r="A135" s="22">
        <f t="shared" si="20"/>
        <v>134</v>
      </c>
      <c r="B135" s="17">
        <v>45583</v>
      </c>
      <c r="C135" s="4" t="str">
        <f>TEXT(KDK[[#This Row],[Date]],"dddd")</f>
        <v>Friday</v>
      </c>
      <c r="D135" s="4">
        <f>WEEKNUM(KDK[[#This Row],[Date]],2)</f>
        <v>42</v>
      </c>
      <c r="E135" s="14" t="s">
        <v>19</v>
      </c>
      <c r="F135" s="14">
        <f t="shared" si="15"/>
        <v>0</v>
      </c>
      <c r="G135" s="14">
        <f t="shared" si="16"/>
        <v>0</v>
      </c>
      <c r="H135" s="4">
        <f>KDK[[#This Row],[Brick]]*KDK[[#This Row],[Line]]</f>
        <v>0</v>
      </c>
      <c r="I13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5" s="4">
        <f t="shared" si="18"/>
        <v>1.5</v>
      </c>
      <c r="K135" s="6">
        <f>KDK[[#This Row],[Round Total Brick]]*KDK[[#This Row],[Amount of pre brick]]</f>
        <v>0</v>
      </c>
    </row>
    <row r="136" spans="1:11" x14ac:dyDescent="0.25">
      <c r="A136" s="22">
        <f t="shared" si="20"/>
        <v>135</v>
      </c>
      <c r="B136" s="17">
        <v>45583</v>
      </c>
      <c r="C136" s="4" t="str">
        <f>TEXT(KDK[[#This Row],[Date]],"dddd")</f>
        <v>Friday</v>
      </c>
      <c r="D136" s="4">
        <f>WEEKNUM(KDK[[#This Row],[Date]],2)</f>
        <v>42</v>
      </c>
      <c r="E136" s="14" t="s">
        <v>18</v>
      </c>
      <c r="F136" s="14">
        <f t="shared" si="15"/>
        <v>0</v>
      </c>
      <c r="G136" s="14">
        <f t="shared" si="16"/>
        <v>0</v>
      </c>
      <c r="H136" s="4">
        <f>KDK[[#This Row],[Brick]]*KDK[[#This Row],[Line]]</f>
        <v>0</v>
      </c>
      <c r="I13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6" s="4">
        <f t="shared" si="18"/>
        <v>1.5</v>
      </c>
      <c r="K136" s="6">
        <f>KDK[[#This Row],[Round Total Brick]]*KDK[[#This Row],[Amount of pre brick]]</f>
        <v>0</v>
      </c>
    </row>
    <row r="137" spans="1:11" x14ac:dyDescent="0.25">
      <c r="A137" s="22">
        <f t="shared" si="20"/>
        <v>136</v>
      </c>
      <c r="B137" s="17">
        <v>45583</v>
      </c>
      <c r="C137" s="4" t="str">
        <f>TEXT(KDK[[#This Row],[Date]],"dddd")</f>
        <v>Friday</v>
      </c>
      <c r="D137" s="4">
        <f>WEEKNUM(KDK[[#This Row],[Date]],2)</f>
        <v>42</v>
      </c>
      <c r="E137" s="14" t="s">
        <v>38</v>
      </c>
      <c r="F137" s="14">
        <f t="shared" si="15"/>
        <v>0</v>
      </c>
      <c r="G137" s="14">
        <f t="shared" si="16"/>
        <v>0</v>
      </c>
      <c r="H137" s="4">
        <f>KDK[[#This Row],[Brick]]*KDK[[#This Row],[Line]]</f>
        <v>0</v>
      </c>
      <c r="I13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7" s="4">
        <f t="shared" si="18"/>
        <v>1.5</v>
      </c>
      <c r="K137" s="6">
        <f>KDK[[#This Row],[Round Total Brick]]*KDK[[#This Row],[Amount of pre brick]]</f>
        <v>0</v>
      </c>
    </row>
    <row r="138" spans="1:11" x14ac:dyDescent="0.25">
      <c r="A138" s="22">
        <f t="shared" si="20"/>
        <v>137</v>
      </c>
      <c r="B138" s="17">
        <v>45584</v>
      </c>
      <c r="C138" s="5" t="str">
        <f>TEXT(KDK[[#This Row],[Date]],"dddd")</f>
        <v>Saturday</v>
      </c>
      <c r="D138" s="5">
        <f>WEEKNUM(KDK[[#This Row],[Date]],2)</f>
        <v>42</v>
      </c>
      <c r="E138" s="14" t="s">
        <v>26</v>
      </c>
      <c r="F138" s="14">
        <f t="shared" si="15"/>
        <v>0</v>
      </c>
      <c r="G138" s="14">
        <f t="shared" si="16"/>
        <v>0</v>
      </c>
      <c r="H138" s="5">
        <f>KDK[[#This Row],[Brick]]*KDK[[#This Row],[Line]]</f>
        <v>0</v>
      </c>
      <c r="I138" s="5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8" s="5">
        <f t="shared" si="18"/>
        <v>1.5</v>
      </c>
      <c r="K138" s="7">
        <f>KDK[[#This Row],[Round Total Brick]]*KDK[[#This Row],[Amount of pre brick]]</f>
        <v>0</v>
      </c>
    </row>
    <row r="139" spans="1:11" x14ac:dyDescent="0.25">
      <c r="A139" s="22">
        <f t="shared" si="20"/>
        <v>138</v>
      </c>
      <c r="B139" s="17">
        <v>45584</v>
      </c>
      <c r="C139" s="4" t="str">
        <f>TEXT(KDK[[#This Row],[Date]],"dddd")</f>
        <v>Saturday</v>
      </c>
      <c r="D139" s="4">
        <f>WEEKNUM(KDK[[#This Row],[Date]],2)</f>
        <v>42</v>
      </c>
      <c r="E139" s="14" t="s">
        <v>28</v>
      </c>
      <c r="F139" s="14">
        <f t="shared" si="15"/>
        <v>0</v>
      </c>
      <c r="G139" s="14">
        <f t="shared" si="16"/>
        <v>0</v>
      </c>
      <c r="H139" s="4">
        <f>KDK[[#This Row],[Brick]]*KDK[[#This Row],[Line]]</f>
        <v>0</v>
      </c>
      <c r="I13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39" s="4">
        <f t="shared" ref="J139:J165" si="21">_xlfn.IFNA(1.5,0)</f>
        <v>1.5</v>
      </c>
      <c r="K139" s="6">
        <f>KDK[[#This Row],[Round Total Brick]]*KDK[[#This Row],[Amount of pre brick]]</f>
        <v>0</v>
      </c>
    </row>
    <row r="140" spans="1:11" x14ac:dyDescent="0.25">
      <c r="A140" s="22">
        <f t="shared" si="20"/>
        <v>139</v>
      </c>
      <c r="B140" s="17">
        <v>45584</v>
      </c>
      <c r="C140" s="4" t="str">
        <f>TEXT(KDK[[#This Row],[Date]],"dddd")</f>
        <v>Saturday</v>
      </c>
      <c r="D140" s="4">
        <f>WEEKNUM(KDK[[#This Row],[Date]],2)</f>
        <v>42</v>
      </c>
      <c r="E140" s="14" t="s">
        <v>17</v>
      </c>
      <c r="F140" s="14">
        <f t="shared" si="15"/>
        <v>0</v>
      </c>
      <c r="G140" s="14">
        <f t="shared" si="16"/>
        <v>0</v>
      </c>
      <c r="H140" s="4">
        <f>KDK[[#This Row],[Brick]]*KDK[[#This Row],[Line]]</f>
        <v>0</v>
      </c>
      <c r="I14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0" s="4">
        <f t="shared" si="21"/>
        <v>1.5</v>
      </c>
      <c r="K140" s="6">
        <f>KDK[[#This Row],[Round Total Brick]]*KDK[[#This Row],[Amount of pre brick]]</f>
        <v>0</v>
      </c>
    </row>
    <row r="141" spans="1:11" x14ac:dyDescent="0.25">
      <c r="A141" s="22">
        <f t="shared" si="20"/>
        <v>140</v>
      </c>
      <c r="B141" s="17">
        <v>45584</v>
      </c>
      <c r="C141" s="4" t="str">
        <f>TEXT(KDK[[#This Row],[Date]],"dddd")</f>
        <v>Saturday</v>
      </c>
      <c r="D141" s="4">
        <f>WEEKNUM(KDK[[#This Row],[Date]],2)</f>
        <v>42</v>
      </c>
      <c r="E141" s="14" t="s">
        <v>9</v>
      </c>
      <c r="F141" s="14">
        <f t="shared" si="15"/>
        <v>0</v>
      </c>
      <c r="G141" s="14">
        <f t="shared" si="16"/>
        <v>0</v>
      </c>
      <c r="H141" s="4">
        <f>KDK[[#This Row],[Brick]]*KDK[[#This Row],[Line]]</f>
        <v>0</v>
      </c>
      <c r="I14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1" s="4">
        <f t="shared" si="21"/>
        <v>1.5</v>
      </c>
      <c r="K141" s="6">
        <f>KDK[[#This Row],[Round Total Brick]]*KDK[[#This Row],[Amount of pre brick]]</f>
        <v>0</v>
      </c>
    </row>
    <row r="142" spans="1:11" x14ac:dyDescent="0.25">
      <c r="A142" s="22">
        <f t="shared" si="20"/>
        <v>141</v>
      </c>
      <c r="B142" s="17">
        <v>45584</v>
      </c>
      <c r="C142" s="4" t="str">
        <f>TEXT(KDK[[#This Row],[Date]],"dddd")</f>
        <v>Saturday</v>
      </c>
      <c r="D142" s="4">
        <f>WEEKNUM(KDK[[#This Row],[Date]],2)</f>
        <v>42</v>
      </c>
      <c r="E142" s="14" t="s">
        <v>19</v>
      </c>
      <c r="F142" s="14">
        <f t="shared" si="15"/>
        <v>0</v>
      </c>
      <c r="G142" s="14">
        <f t="shared" si="16"/>
        <v>0</v>
      </c>
      <c r="H142" s="4">
        <f>KDK[[#This Row],[Brick]]*KDK[[#This Row],[Line]]</f>
        <v>0</v>
      </c>
      <c r="I14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2" s="4">
        <f t="shared" si="21"/>
        <v>1.5</v>
      </c>
      <c r="K142" s="6">
        <f>KDK[[#This Row],[Round Total Brick]]*KDK[[#This Row],[Amount of pre brick]]</f>
        <v>0</v>
      </c>
    </row>
    <row r="143" spans="1:11" x14ac:dyDescent="0.25">
      <c r="A143" s="22">
        <f t="shared" si="20"/>
        <v>142</v>
      </c>
      <c r="B143" s="17">
        <v>45584</v>
      </c>
      <c r="C143" s="4" t="str">
        <f>TEXT(KDK[[#This Row],[Date]],"dddd")</f>
        <v>Saturday</v>
      </c>
      <c r="D143" s="4">
        <f>WEEKNUM(KDK[[#This Row],[Date]],2)</f>
        <v>42</v>
      </c>
      <c r="E143" s="14" t="s">
        <v>18</v>
      </c>
      <c r="F143" s="14">
        <f t="shared" si="15"/>
        <v>0</v>
      </c>
      <c r="G143" s="14">
        <f t="shared" si="16"/>
        <v>0</v>
      </c>
      <c r="H143" s="4">
        <f>KDK[[#This Row],[Brick]]*KDK[[#This Row],[Line]]</f>
        <v>0</v>
      </c>
      <c r="I14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3" s="4">
        <f t="shared" si="21"/>
        <v>1.5</v>
      </c>
      <c r="K143" s="6">
        <f>KDK[[#This Row],[Round Total Brick]]*KDK[[#This Row],[Amount of pre brick]]</f>
        <v>0</v>
      </c>
    </row>
    <row r="144" spans="1:11" x14ac:dyDescent="0.25">
      <c r="A144" s="22">
        <f t="shared" si="20"/>
        <v>143</v>
      </c>
      <c r="B144" s="17">
        <v>45584</v>
      </c>
      <c r="C144" s="4" t="str">
        <f>TEXT(KDK[[#This Row],[Date]],"dddd")</f>
        <v>Saturday</v>
      </c>
      <c r="D144" s="4">
        <f>WEEKNUM(KDK[[#This Row],[Date]],2)</f>
        <v>42</v>
      </c>
      <c r="E144" s="14" t="s">
        <v>38</v>
      </c>
      <c r="F144" s="14">
        <f t="shared" si="15"/>
        <v>0</v>
      </c>
      <c r="G144" s="14">
        <f t="shared" si="16"/>
        <v>0</v>
      </c>
      <c r="H144" s="4">
        <f>KDK[[#This Row],[Brick]]*KDK[[#This Row],[Line]]</f>
        <v>0</v>
      </c>
      <c r="I14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4" s="4">
        <f t="shared" si="21"/>
        <v>1.5</v>
      </c>
      <c r="K144" s="6">
        <f>KDK[[#This Row],[Round Total Brick]]*KDK[[#This Row],[Amount of pre brick]]</f>
        <v>0</v>
      </c>
    </row>
    <row r="145" spans="1:11" x14ac:dyDescent="0.25">
      <c r="A145" s="22">
        <f t="shared" si="20"/>
        <v>144</v>
      </c>
      <c r="B145" s="17">
        <v>45585</v>
      </c>
      <c r="C145" s="4" t="str">
        <f>TEXT(KDK[[#This Row],[Date]],"dddd")</f>
        <v>Sunday</v>
      </c>
      <c r="D145" s="4">
        <f>WEEKNUM(KDK[[#This Row],[Date]],2)</f>
        <v>42</v>
      </c>
      <c r="E145" s="14" t="s">
        <v>26</v>
      </c>
      <c r="F145" s="14">
        <f t="shared" si="15"/>
        <v>0</v>
      </c>
      <c r="G145" s="14">
        <f t="shared" si="16"/>
        <v>0</v>
      </c>
      <c r="H145" s="4">
        <f>KDK[[#This Row],[Brick]]*KDK[[#This Row],[Line]]</f>
        <v>0</v>
      </c>
      <c r="I14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5" s="4">
        <f t="shared" si="21"/>
        <v>1.5</v>
      </c>
      <c r="K145" s="6">
        <f>KDK[[#This Row],[Round Total Brick]]*KDK[[#This Row],[Amount of pre brick]]</f>
        <v>0</v>
      </c>
    </row>
    <row r="146" spans="1:11" x14ac:dyDescent="0.25">
      <c r="A146" s="22">
        <f t="shared" si="20"/>
        <v>145</v>
      </c>
      <c r="B146" s="17">
        <v>45585</v>
      </c>
      <c r="C146" s="4" t="str">
        <f>TEXT(KDK[[#This Row],[Date]],"dddd")</f>
        <v>Sunday</v>
      </c>
      <c r="D146" s="4">
        <f>WEEKNUM(KDK[[#This Row],[Date]],2)</f>
        <v>42</v>
      </c>
      <c r="E146" s="14" t="s">
        <v>28</v>
      </c>
      <c r="F146" s="14">
        <f t="shared" si="15"/>
        <v>0</v>
      </c>
      <c r="G146" s="14">
        <f t="shared" si="16"/>
        <v>0</v>
      </c>
      <c r="H146" s="4">
        <f>KDK[[#This Row],[Brick]]*KDK[[#This Row],[Line]]</f>
        <v>0</v>
      </c>
      <c r="I14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6" s="4">
        <f t="shared" si="21"/>
        <v>1.5</v>
      </c>
      <c r="K146" s="6">
        <f>KDK[[#This Row],[Round Total Brick]]*KDK[[#This Row],[Amount of pre brick]]</f>
        <v>0</v>
      </c>
    </row>
    <row r="147" spans="1:11" x14ac:dyDescent="0.25">
      <c r="A147" s="22">
        <f t="shared" si="20"/>
        <v>146</v>
      </c>
      <c r="B147" s="17">
        <v>45585</v>
      </c>
      <c r="C147" s="4" t="str">
        <f>TEXT(KDK[[#This Row],[Date]],"dddd")</f>
        <v>Sunday</v>
      </c>
      <c r="D147" s="4">
        <f>WEEKNUM(KDK[[#This Row],[Date]],2)</f>
        <v>42</v>
      </c>
      <c r="E147" s="14" t="s">
        <v>17</v>
      </c>
      <c r="F147" s="14">
        <f t="shared" ref="F147:G179" si="22">_xlfn.IFNA(0,0)</f>
        <v>0</v>
      </c>
      <c r="G147" s="14">
        <f t="shared" si="22"/>
        <v>0</v>
      </c>
      <c r="H147" s="4">
        <f>KDK[[#This Row],[Brick]]*KDK[[#This Row],[Line]]</f>
        <v>0</v>
      </c>
      <c r="I14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7" s="4">
        <f t="shared" si="21"/>
        <v>1.5</v>
      </c>
      <c r="K147" s="6">
        <f>KDK[[#This Row],[Round Total Brick]]*KDK[[#This Row],[Amount of pre brick]]</f>
        <v>0</v>
      </c>
    </row>
    <row r="148" spans="1:11" x14ac:dyDescent="0.25">
      <c r="A148" s="22">
        <f t="shared" si="20"/>
        <v>147</v>
      </c>
      <c r="B148" s="17">
        <v>45585</v>
      </c>
      <c r="C148" s="4" t="str">
        <f>TEXT(KDK[[#This Row],[Date]],"dddd")</f>
        <v>Sunday</v>
      </c>
      <c r="D148" s="4">
        <f>WEEKNUM(KDK[[#This Row],[Date]],2)</f>
        <v>42</v>
      </c>
      <c r="E148" s="14" t="s">
        <v>9</v>
      </c>
      <c r="F148" s="14">
        <f t="shared" si="22"/>
        <v>0</v>
      </c>
      <c r="G148" s="14">
        <f t="shared" si="22"/>
        <v>0</v>
      </c>
      <c r="H148" s="4">
        <f>KDK[[#This Row],[Brick]]*KDK[[#This Row],[Line]]</f>
        <v>0</v>
      </c>
      <c r="I14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8" s="4">
        <f t="shared" si="21"/>
        <v>1.5</v>
      </c>
      <c r="K148" s="6">
        <f>KDK[[#This Row],[Round Total Brick]]*KDK[[#This Row],[Amount of pre brick]]</f>
        <v>0</v>
      </c>
    </row>
    <row r="149" spans="1:11" x14ac:dyDescent="0.25">
      <c r="A149" s="22">
        <f t="shared" si="20"/>
        <v>148</v>
      </c>
      <c r="B149" s="17">
        <v>45585</v>
      </c>
      <c r="C149" s="4" t="str">
        <f>TEXT(KDK[[#This Row],[Date]],"dddd")</f>
        <v>Sunday</v>
      </c>
      <c r="D149" s="4">
        <f>WEEKNUM(KDK[[#This Row],[Date]],2)</f>
        <v>42</v>
      </c>
      <c r="E149" s="14" t="s">
        <v>19</v>
      </c>
      <c r="F149" s="14">
        <f t="shared" si="22"/>
        <v>0</v>
      </c>
      <c r="G149" s="14">
        <f t="shared" si="22"/>
        <v>0</v>
      </c>
      <c r="H149" s="4">
        <f>KDK[[#This Row],[Brick]]*KDK[[#This Row],[Line]]</f>
        <v>0</v>
      </c>
      <c r="I14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49" s="4">
        <f t="shared" si="21"/>
        <v>1.5</v>
      </c>
      <c r="K149" s="6">
        <f>KDK[[#This Row],[Round Total Brick]]*KDK[[#This Row],[Amount of pre brick]]</f>
        <v>0</v>
      </c>
    </row>
    <row r="150" spans="1:11" x14ac:dyDescent="0.25">
      <c r="A150" s="22">
        <f t="shared" si="20"/>
        <v>149</v>
      </c>
      <c r="B150" s="17">
        <v>45585</v>
      </c>
      <c r="C150" s="4" t="str">
        <f>TEXT(KDK[[#This Row],[Date]],"dddd")</f>
        <v>Sunday</v>
      </c>
      <c r="D150" s="4">
        <f>WEEKNUM(KDK[[#This Row],[Date]],2)</f>
        <v>42</v>
      </c>
      <c r="E150" s="14" t="s">
        <v>18</v>
      </c>
      <c r="F150" s="14">
        <f t="shared" si="22"/>
        <v>0</v>
      </c>
      <c r="G150" s="14">
        <f t="shared" si="22"/>
        <v>0</v>
      </c>
      <c r="H150" s="4">
        <f>KDK[[#This Row],[Brick]]*KDK[[#This Row],[Line]]</f>
        <v>0</v>
      </c>
      <c r="I15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0" s="4">
        <f t="shared" si="21"/>
        <v>1.5</v>
      </c>
      <c r="K150" s="6">
        <f>KDK[[#This Row],[Round Total Brick]]*KDK[[#This Row],[Amount of pre brick]]</f>
        <v>0</v>
      </c>
    </row>
    <row r="151" spans="1:11" x14ac:dyDescent="0.25">
      <c r="A151" s="22">
        <f t="shared" si="20"/>
        <v>150</v>
      </c>
      <c r="B151" s="17">
        <v>45585</v>
      </c>
      <c r="C151" s="4" t="str">
        <f>TEXT(KDK[[#This Row],[Date]],"dddd")</f>
        <v>Sunday</v>
      </c>
      <c r="D151" s="4">
        <f>WEEKNUM(KDK[[#This Row],[Date]],2)</f>
        <v>42</v>
      </c>
      <c r="E151" s="14" t="s">
        <v>38</v>
      </c>
      <c r="F151" s="14">
        <f t="shared" si="22"/>
        <v>0</v>
      </c>
      <c r="G151" s="14">
        <f t="shared" si="22"/>
        <v>0</v>
      </c>
      <c r="H151" s="4">
        <f>KDK[[#This Row],[Brick]]*KDK[[#This Row],[Line]]</f>
        <v>0</v>
      </c>
      <c r="I15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1" s="4">
        <f t="shared" si="21"/>
        <v>1.5</v>
      </c>
      <c r="K151" s="6">
        <f>KDK[[#This Row],[Round Total Brick]]*KDK[[#This Row],[Amount of pre brick]]</f>
        <v>0</v>
      </c>
    </row>
    <row r="152" spans="1:11" x14ac:dyDescent="0.25">
      <c r="A152" s="22">
        <f t="shared" si="20"/>
        <v>151</v>
      </c>
      <c r="B152" s="17">
        <v>45586</v>
      </c>
      <c r="C152" s="4" t="str">
        <f>TEXT(KDK[[#This Row],[Date]],"dddd")</f>
        <v>Monday</v>
      </c>
      <c r="D152" s="4">
        <f>WEEKNUM(KDK[[#This Row],[Date]],2)</f>
        <v>43</v>
      </c>
      <c r="E152" s="14" t="s">
        <v>26</v>
      </c>
      <c r="F152" s="14">
        <f t="shared" si="22"/>
        <v>0</v>
      </c>
      <c r="G152" s="14">
        <f t="shared" si="22"/>
        <v>0</v>
      </c>
      <c r="H152" s="4">
        <f>KDK[[#This Row],[Brick]]*KDK[[#This Row],[Line]]</f>
        <v>0</v>
      </c>
      <c r="I15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2" s="4">
        <f t="shared" si="21"/>
        <v>1.5</v>
      </c>
      <c r="K152" s="6">
        <f>KDK[[#This Row],[Round Total Brick]]*KDK[[#This Row],[Amount of pre brick]]</f>
        <v>0</v>
      </c>
    </row>
    <row r="153" spans="1:11" x14ac:dyDescent="0.25">
      <c r="A153" s="22">
        <f t="shared" si="20"/>
        <v>152</v>
      </c>
      <c r="B153" s="17">
        <v>45586</v>
      </c>
      <c r="C153" s="4" t="str">
        <f>TEXT(KDK[[#This Row],[Date]],"dddd")</f>
        <v>Monday</v>
      </c>
      <c r="D153" s="4">
        <f>WEEKNUM(KDK[[#This Row],[Date]],2)</f>
        <v>43</v>
      </c>
      <c r="E153" s="14" t="s">
        <v>28</v>
      </c>
      <c r="F153" s="14">
        <f t="shared" si="22"/>
        <v>0</v>
      </c>
      <c r="G153" s="14">
        <f t="shared" si="22"/>
        <v>0</v>
      </c>
      <c r="H153" s="4">
        <f>KDK[[#This Row],[Brick]]*KDK[[#This Row],[Line]]</f>
        <v>0</v>
      </c>
      <c r="I15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3" s="4">
        <f t="shared" si="21"/>
        <v>1.5</v>
      </c>
      <c r="K153" s="6">
        <f>KDK[[#This Row],[Round Total Brick]]*KDK[[#This Row],[Amount of pre brick]]</f>
        <v>0</v>
      </c>
    </row>
    <row r="154" spans="1:11" x14ac:dyDescent="0.25">
      <c r="A154" s="22">
        <f t="shared" si="20"/>
        <v>153</v>
      </c>
      <c r="B154" s="17">
        <v>45586</v>
      </c>
      <c r="C154" s="4" t="str">
        <f>TEXT(KDK[[#This Row],[Date]],"dddd")</f>
        <v>Monday</v>
      </c>
      <c r="D154" s="4">
        <f>WEEKNUM(KDK[[#This Row],[Date]],2)</f>
        <v>43</v>
      </c>
      <c r="E154" s="14" t="s">
        <v>17</v>
      </c>
      <c r="F154" s="14">
        <f t="shared" si="22"/>
        <v>0</v>
      </c>
      <c r="G154" s="14">
        <f t="shared" si="22"/>
        <v>0</v>
      </c>
      <c r="H154" s="4">
        <f>KDK[[#This Row],[Brick]]*KDK[[#This Row],[Line]]</f>
        <v>0</v>
      </c>
      <c r="I15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4" s="4">
        <f t="shared" si="21"/>
        <v>1.5</v>
      </c>
      <c r="K154" s="6">
        <f>KDK[[#This Row],[Round Total Brick]]*KDK[[#This Row],[Amount of pre brick]]</f>
        <v>0</v>
      </c>
    </row>
    <row r="155" spans="1:11" x14ac:dyDescent="0.25">
      <c r="A155" s="22">
        <f t="shared" si="20"/>
        <v>154</v>
      </c>
      <c r="B155" s="17">
        <v>45586</v>
      </c>
      <c r="C155" s="4" t="str">
        <f>TEXT(KDK[[#This Row],[Date]],"dddd")</f>
        <v>Monday</v>
      </c>
      <c r="D155" s="4">
        <f>WEEKNUM(KDK[[#This Row],[Date]],2)</f>
        <v>43</v>
      </c>
      <c r="E155" s="14" t="s">
        <v>9</v>
      </c>
      <c r="F155" s="14">
        <f t="shared" si="22"/>
        <v>0</v>
      </c>
      <c r="G155" s="14">
        <f t="shared" si="22"/>
        <v>0</v>
      </c>
      <c r="H155" s="4">
        <f>KDK[[#This Row],[Brick]]*KDK[[#This Row],[Line]]</f>
        <v>0</v>
      </c>
      <c r="I15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5" s="4">
        <f t="shared" si="21"/>
        <v>1.5</v>
      </c>
      <c r="K155" s="6">
        <f>KDK[[#This Row],[Round Total Brick]]*KDK[[#This Row],[Amount of pre brick]]</f>
        <v>0</v>
      </c>
    </row>
    <row r="156" spans="1:11" x14ac:dyDescent="0.25">
      <c r="A156" s="22">
        <f t="shared" si="20"/>
        <v>155</v>
      </c>
      <c r="B156" s="17">
        <v>45586</v>
      </c>
      <c r="C156" s="4" t="str">
        <f>TEXT(KDK[[#This Row],[Date]],"dddd")</f>
        <v>Monday</v>
      </c>
      <c r="D156" s="4">
        <f>WEEKNUM(KDK[[#This Row],[Date]],2)</f>
        <v>43</v>
      </c>
      <c r="E156" s="14" t="s">
        <v>19</v>
      </c>
      <c r="F156" s="14">
        <f t="shared" si="22"/>
        <v>0</v>
      </c>
      <c r="G156" s="14">
        <f t="shared" si="22"/>
        <v>0</v>
      </c>
      <c r="H156" s="4">
        <f>KDK[[#This Row],[Brick]]*KDK[[#This Row],[Line]]</f>
        <v>0</v>
      </c>
      <c r="I15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6" s="4">
        <f t="shared" si="21"/>
        <v>1.5</v>
      </c>
      <c r="K156" s="6">
        <f>KDK[[#This Row],[Round Total Brick]]*KDK[[#This Row],[Amount of pre brick]]</f>
        <v>0</v>
      </c>
    </row>
    <row r="157" spans="1:11" x14ac:dyDescent="0.25">
      <c r="A157" s="22">
        <f t="shared" si="20"/>
        <v>156</v>
      </c>
      <c r="B157" s="17">
        <v>45586</v>
      </c>
      <c r="C157" s="4" t="str">
        <f>TEXT(KDK[[#This Row],[Date]],"dddd")</f>
        <v>Monday</v>
      </c>
      <c r="D157" s="4">
        <f>WEEKNUM(KDK[[#This Row],[Date]],2)</f>
        <v>43</v>
      </c>
      <c r="E157" s="14" t="s">
        <v>18</v>
      </c>
      <c r="F157" s="14">
        <f t="shared" si="22"/>
        <v>0</v>
      </c>
      <c r="G157" s="14">
        <f t="shared" si="22"/>
        <v>0</v>
      </c>
      <c r="H157" s="4">
        <f>KDK[[#This Row],[Brick]]*KDK[[#This Row],[Line]]</f>
        <v>0</v>
      </c>
      <c r="I15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7" s="4">
        <f t="shared" si="21"/>
        <v>1.5</v>
      </c>
      <c r="K157" s="6">
        <f>KDK[[#This Row],[Round Total Brick]]*KDK[[#This Row],[Amount of pre brick]]</f>
        <v>0</v>
      </c>
    </row>
    <row r="158" spans="1:11" x14ac:dyDescent="0.25">
      <c r="A158" s="22">
        <f t="shared" si="20"/>
        <v>157</v>
      </c>
      <c r="B158" s="17">
        <v>45586</v>
      </c>
      <c r="C158" s="4" t="str">
        <f>TEXT(KDK[[#This Row],[Date]],"dddd")</f>
        <v>Monday</v>
      </c>
      <c r="D158" s="4">
        <f>WEEKNUM(KDK[[#This Row],[Date]],2)</f>
        <v>43</v>
      </c>
      <c r="E158" s="14" t="s">
        <v>38</v>
      </c>
      <c r="F158" s="14">
        <f t="shared" si="22"/>
        <v>0</v>
      </c>
      <c r="G158" s="14">
        <f t="shared" si="22"/>
        <v>0</v>
      </c>
      <c r="H158" s="4">
        <f>KDK[[#This Row],[Brick]]*KDK[[#This Row],[Line]]</f>
        <v>0</v>
      </c>
      <c r="I15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8" s="4">
        <f t="shared" si="21"/>
        <v>1.5</v>
      </c>
      <c r="K158" s="6">
        <f>KDK[[#This Row],[Round Total Brick]]*KDK[[#This Row],[Amount of pre brick]]</f>
        <v>0</v>
      </c>
    </row>
    <row r="159" spans="1:11" x14ac:dyDescent="0.25">
      <c r="A159" s="22">
        <f t="shared" si="20"/>
        <v>158</v>
      </c>
      <c r="B159" s="17">
        <v>45587</v>
      </c>
      <c r="C159" s="4" t="str">
        <f>TEXT(KDK[[#This Row],[Date]],"dddd")</f>
        <v>Tuesday</v>
      </c>
      <c r="D159" s="4">
        <f>WEEKNUM(KDK[[#This Row],[Date]],2)</f>
        <v>43</v>
      </c>
      <c r="E159" s="14" t="s">
        <v>26</v>
      </c>
      <c r="F159" s="14">
        <f t="shared" si="22"/>
        <v>0</v>
      </c>
      <c r="G159" s="14">
        <f t="shared" si="22"/>
        <v>0</v>
      </c>
      <c r="H159" s="4">
        <f>KDK[[#This Row],[Brick]]*KDK[[#This Row],[Line]]</f>
        <v>0</v>
      </c>
      <c r="I15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59" s="4">
        <f t="shared" si="21"/>
        <v>1.5</v>
      </c>
      <c r="K159" s="6">
        <f>KDK[[#This Row],[Round Total Brick]]*KDK[[#This Row],[Amount of pre brick]]</f>
        <v>0</v>
      </c>
    </row>
    <row r="160" spans="1:11" x14ac:dyDescent="0.25">
      <c r="A160" s="22">
        <f t="shared" si="20"/>
        <v>159</v>
      </c>
      <c r="B160" s="17">
        <v>45587</v>
      </c>
      <c r="C160" s="4" t="str">
        <f>TEXT(KDK[[#This Row],[Date]],"dddd")</f>
        <v>Tuesday</v>
      </c>
      <c r="D160" s="4">
        <f>WEEKNUM(KDK[[#This Row],[Date]],2)</f>
        <v>43</v>
      </c>
      <c r="E160" s="14" t="s">
        <v>28</v>
      </c>
      <c r="F160" s="14">
        <f t="shared" si="22"/>
        <v>0</v>
      </c>
      <c r="G160" s="14">
        <f t="shared" si="22"/>
        <v>0</v>
      </c>
      <c r="H160" s="4">
        <f>KDK[[#This Row],[Brick]]*KDK[[#This Row],[Line]]</f>
        <v>0</v>
      </c>
      <c r="I16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0" s="4">
        <f t="shared" si="21"/>
        <v>1.5</v>
      </c>
      <c r="K160" s="6">
        <f>KDK[[#This Row],[Round Total Brick]]*KDK[[#This Row],[Amount of pre brick]]</f>
        <v>0</v>
      </c>
    </row>
    <row r="161" spans="1:11" x14ac:dyDescent="0.25">
      <c r="A161" s="22">
        <f t="shared" si="20"/>
        <v>160</v>
      </c>
      <c r="B161" s="17">
        <v>45587</v>
      </c>
      <c r="C161" s="4" t="str">
        <f>TEXT(KDK[[#This Row],[Date]],"dddd")</f>
        <v>Tuesday</v>
      </c>
      <c r="D161" s="4">
        <f>WEEKNUM(KDK[[#This Row],[Date]],2)</f>
        <v>43</v>
      </c>
      <c r="E161" s="14" t="s">
        <v>17</v>
      </c>
      <c r="F161" s="14">
        <f t="shared" si="22"/>
        <v>0</v>
      </c>
      <c r="G161" s="14">
        <f t="shared" si="22"/>
        <v>0</v>
      </c>
      <c r="H161" s="4">
        <f>KDK[[#This Row],[Brick]]*KDK[[#This Row],[Line]]</f>
        <v>0</v>
      </c>
      <c r="I16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1" s="4">
        <f t="shared" si="21"/>
        <v>1.5</v>
      </c>
      <c r="K161" s="6">
        <f>KDK[[#This Row],[Round Total Brick]]*KDK[[#This Row],[Amount of pre brick]]</f>
        <v>0</v>
      </c>
    </row>
    <row r="162" spans="1:11" x14ac:dyDescent="0.25">
      <c r="A162" s="22">
        <f t="shared" ref="A162:A186" si="23">ROW()-1</f>
        <v>161</v>
      </c>
      <c r="B162" s="17">
        <v>45587</v>
      </c>
      <c r="C162" s="4" t="str">
        <f>TEXT(KDK[[#This Row],[Date]],"dddd")</f>
        <v>Tuesday</v>
      </c>
      <c r="D162" s="4">
        <f>WEEKNUM(KDK[[#This Row],[Date]],2)</f>
        <v>43</v>
      </c>
      <c r="E162" s="14" t="s">
        <v>9</v>
      </c>
      <c r="F162" s="14">
        <f t="shared" si="22"/>
        <v>0</v>
      </c>
      <c r="G162" s="14">
        <f t="shared" si="22"/>
        <v>0</v>
      </c>
      <c r="H162" s="4">
        <f>KDK[[#This Row],[Brick]]*KDK[[#This Row],[Line]]</f>
        <v>0</v>
      </c>
      <c r="I16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2" s="4">
        <f t="shared" si="21"/>
        <v>1.5</v>
      </c>
      <c r="K162" s="6">
        <f>KDK[[#This Row],[Round Total Brick]]*KDK[[#This Row],[Amount of pre brick]]</f>
        <v>0</v>
      </c>
    </row>
    <row r="163" spans="1:11" x14ac:dyDescent="0.25">
      <c r="A163" s="22">
        <f t="shared" si="23"/>
        <v>162</v>
      </c>
      <c r="B163" s="17">
        <v>45587</v>
      </c>
      <c r="C163" s="4" t="str">
        <f>TEXT(KDK[[#This Row],[Date]],"dddd")</f>
        <v>Tuesday</v>
      </c>
      <c r="D163" s="4">
        <f>WEEKNUM(KDK[[#This Row],[Date]],2)</f>
        <v>43</v>
      </c>
      <c r="E163" s="14" t="s">
        <v>19</v>
      </c>
      <c r="F163" s="14">
        <f t="shared" si="22"/>
        <v>0</v>
      </c>
      <c r="G163" s="14">
        <f t="shared" si="22"/>
        <v>0</v>
      </c>
      <c r="H163" s="4">
        <f>KDK[[#This Row],[Brick]]*KDK[[#This Row],[Line]]</f>
        <v>0</v>
      </c>
      <c r="I16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3" s="4">
        <f t="shared" si="21"/>
        <v>1.5</v>
      </c>
      <c r="K163" s="6">
        <f>KDK[[#This Row],[Round Total Brick]]*KDK[[#This Row],[Amount of pre brick]]</f>
        <v>0</v>
      </c>
    </row>
    <row r="164" spans="1:11" x14ac:dyDescent="0.25">
      <c r="A164" s="22">
        <f t="shared" si="23"/>
        <v>163</v>
      </c>
      <c r="B164" s="17">
        <v>45587</v>
      </c>
      <c r="C164" s="4" t="str">
        <f>TEXT(KDK[[#This Row],[Date]],"dddd")</f>
        <v>Tuesday</v>
      </c>
      <c r="D164" s="4">
        <f>WEEKNUM(KDK[[#This Row],[Date]],2)</f>
        <v>43</v>
      </c>
      <c r="E164" s="14" t="s">
        <v>18</v>
      </c>
      <c r="F164" s="14">
        <f t="shared" si="22"/>
        <v>0</v>
      </c>
      <c r="G164" s="14">
        <f t="shared" si="22"/>
        <v>0</v>
      </c>
      <c r="H164" s="4">
        <f>KDK[[#This Row],[Brick]]*KDK[[#This Row],[Line]]</f>
        <v>0</v>
      </c>
      <c r="I16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4" s="4">
        <f t="shared" si="21"/>
        <v>1.5</v>
      </c>
      <c r="K164" s="6">
        <f>KDK[[#This Row],[Round Total Brick]]*KDK[[#This Row],[Amount of pre brick]]</f>
        <v>0</v>
      </c>
    </row>
    <row r="165" spans="1:11" x14ac:dyDescent="0.25">
      <c r="A165" s="22">
        <f t="shared" si="23"/>
        <v>164</v>
      </c>
      <c r="B165" s="17">
        <v>45587</v>
      </c>
      <c r="C165" s="4" t="str">
        <f>TEXT(KDK[[#This Row],[Date]],"dddd")</f>
        <v>Tuesday</v>
      </c>
      <c r="D165" s="4">
        <f>WEEKNUM(KDK[[#This Row],[Date]],2)</f>
        <v>43</v>
      </c>
      <c r="E165" s="14" t="s">
        <v>38</v>
      </c>
      <c r="F165" s="14">
        <f t="shared" si="22"/>
        <v>0</v>
      </c>
      <c r="G165" s="14">
        <f t="shared" si="22"/>
        <v>0</v>
      </c>
      <c r="H165" s="4">
        <f>KDK[[#This Row],[Brick]]*KDK[[#This Row],[Line]]</f>
        <v>0</v>
      </c>
      <c r="I16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5" s="4">
        <f t="shared" si="21"/>
        <v>1.5</v>
      </c>
      <c r="K165" s="6">
        <f>KDK[[#This Row],[Round Total Brick]]*KDK[[#This Row],[Amount of pre brick]]</f>
        <v>0</v>
      </c>
    </row>
    <row r="166" spans="1:11" x14ac:dyDescent="0.25">
      <c r="A166" s="22">
        <f t="shared" si="23"/>
        <v>165</v>
      </c>
      <c r="B166" s="17">
        <v>45588</v>
      </c>
      <c r="C166" s="4" t="str">
        <f>TEXT(KDK[[#This Row],[Date]],"dddd")</f>
        <v>Wednesday</v>
      </c>
      <c r="D166" s="4">
        <f>WEEKNUM(KDK[[#This Row],[Date]],2)</f>
        <v>43</v>
      </c>
      <c r="E166" s="14" t="s">
        <v>26</v>
      </c>
      <c r="F166" s="14">
        <f t="shared" si="22"/>
        <v>0</v>
      </c>
      <c r="G166" s="14">
        <f t="shared" si="22"/>
        <v>0</v>
      </c>
      <c r="H166" s="4">
        <f>KDK[[#This Row],[Brick]]*KDK[[#This Row],[Line]]</f>
        <v>0</v>
      </c>
      <c r="I16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6" s="4">
        <f t="shared" ref="J166:J179" si="24">_xlfn.IFNA(1.5,0)</f>
        <v>1.5</v>
      </c>
      <c r="K166" s="6">
        <f>KDK[[#This Row],[Round Total Brick]]*KDK[[#This Row],[Amount of pre brick]]</f>
        <v>0</v>
      </c>
    </row>
    <row r="167" spans="1:11" x14ac:dyDescent="0.25">
      <c r="A167" s="22">
        <f t="shared" si="23"/>
        <v>166</v>
      </c>
      <c r="B167" s="17">
        <v>45588</v>
      </c>
      <c r="C167" s="4" t="str">
        <f>TEXT(KDK[[#This Row],[Date]],"dddd")</f>
        <v>Wednesday</v>
      </c>
      <c r="D167" s="4">
        <f>WEEKNUM(KDK[[#This Row],[Date]],2)</f>
        <v>43</v>
      </c>
      <c r="E167" s="14" t="s">
        <v>28</v>
      </c>
      <c r="F167" s="14">
        <f t="shared" si="22"/>
        <v>0</v>
      </c>
      <c r="G167" s="14">
        <f t="shared" si="22"/>
        <v>0</v>
      </c>
      <c r="H167" s="4">
        <f>KDK[[#This Row],[Brick]]*KDK[[#This Row],[Line]]</f>
        <v>0</v>
      </c>
      <c r="I16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7" s="4">
        <f t="shared" si="24"/>
        <v>1.5</v>
      </c>
      <c r="K167" s="6">
        <f>KDK[[#This Row],[Round Total Brick]]*KDK[[#This Row],[Amount of pre brick]]</f>
        <v>0</v>
      </c>
    </row>
    <row r="168" spans="1:11" x14ac:dyDescent="0.25">
      <c r="A168" s="22">
        <f t="shared" si="23"/>
        <v>167</v>
      </c>
      <c r="B168" s="17">
        <v>45588</v>
      </c>
      <c r="C168" s="4" t="str">
        <f>TEXT(KDK[[#This Row],[Date]],"dddd")</f>
        <v>Wednesday</v>
      </c>
      <c r="D168" s="4">
        <f>WEEKNUM(KDK[[#This Row],[Date]],2)</f>
        <v>43</v>
      </c>
      <c r="E168" s="14" t="s">
        <v>17</v>
      </c>
      <c r="F168" s="14">
        <f t="shared" si="22"/>
        <v>0</v>
      </c>
      <c r="G168" s="14">
        <f t="shared" si="22"/>
        <v>0</v>
      </c>
      <c r="H168" s="4">
        <f>KDK[[#This Row],[Brick]]*KDK[[#This Row],[Line]]</f>
        <v>0</v>
      </c>
      <c r="I16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8" s="4">
        <f t="shared" si="24"/>
        <v>1.5</v>
      </c>
      <c r="K168" s="6">
        <f>KDK[[#This Row],[Round Total Brick]]*KDK[[#This Row],[Amount of pre brick]]</f>
        <v>0</v>
      </c>
    </row>
    <row r="169" spans="1:11" x14ac:dyDescent="0.25">
      <c r="A169" s="22">
        <f t="shared" si="23"/>
        <v>168</v>
      </c>
      <c r="B169" s="17">
        <v>45588</v>
      </c>
      <c r="C169" s="4" t="str">
        <f>TEXT(KDK[[#This Row],[Date]],"dddd")</f>
        <v>Wednesday</v>
      </c>
      <c r="D169" s="4">
        <f>WEEKNUM(KDK[[#This Row],[Date]],2)</f>
        <v>43</v>
      </c>
      <c r="E169" s="14" t="s">
        <v>9</v>
      </c>
      <c r="F169" s="14">
        <f t="shared" si="22"/>
        <v>0</v>
      </c>
      <c r="G169" s="14">
        <f t="shared" si="22"/>
        <v>0</v>
      </c>
      <c r="H169" s="4">
        <f>KDK[[#This Row],[Brick]]*KDK[[#This Row],[Line]]</f>
        <v>0</v>
      </c>
      <c r="I16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69" s="4">
        <f t="shared" si="24"/>
        <v>1.5</v>
      </c>
      <c r="K169" s="6">
        <f>KDK[[#This Row],[Round Total Brick]]*KDK[[#This Row],[Amount of pre brick]]</f>
        <v>0</v>
      </c>
    </row>
    <row r="170" spans="1:11" x14ac:dyDescent="0.25">
      <c r="A170" s="22">
        <f t="shared" si="23"/>
        <v>169</v>
      </c>
      <c r="B170" s="17">
        <v>45588</v>
      </c>
      <c r="C170" s="4" t="str">
        <f>TEXT(KDK[[#This Row],[Date]],"dddd")</f>
        <v>Wednesday</v>
      </c>
      <c r="D170" s="4">
        <f>WEEKNUM(KDK[[#This Row],[Date]],2)</f>
        <v>43</v>
      </c>
      <c r="E170" s="14" t="s">
        <v>19</v>
      </c>
      <c r="F170" s="14">
        <f t="shared" si="22"/>
        <v>0</v>
      </c>
      <c r="G170" s="14">
        <f t="shared" si="22"/>
        <v>0</v>
      </c>
      <c r="H170" s="4">
        <f>KDK[[#This Row],[Brick]]*KDK[[#This Row],[Line]]</f>
        <v>0</v>
      </c>
      <c r="I17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0" s="4">
        <f t="shared" si="24"/>
        <v>1.5</v>
      </c>
      <c r="K170" s="6">
        <f>KDK[[#This Row],[Round Total Brick]]*KDK[[#This Row],[Amount of pre brick]]</f>
        <v>0</v>
      </c>
    </row>
    <row r="171" spans="1:11" x14ac:dyDescent="0.25">
      <c r="A171" s="22">
        <f t="shared" si="23"/>
        <v>170</v>
      </c>
      <c r="B171" s="17">
        <v>45588</v>
      </c>
      <c r="C171" s="4" t="str">
        <f>TEXT(KDK[[#This Row],[Date]],"dddd")</f>
        <v>Wednesday</v>
      </c>
      <c r="D171" s="4">
        <f>WEEKNUM(KDK[[#This Row],[Date]],2)</f>
        <v>43</v>
      </c>
      <c r="E171" s="14" t="s">
        <v>18</v>
      </c>
      <c r="F171" s="14">
        <f t="shared" si="22"/>
        <v>0</v>
      </c>
      <c r="G171" s="14">
        <f t="shared" si="22"/>
        <v>0</v>
      </c>
      <c r="H171" s="4">
        <f>KDK[[#This Row],[Brick]]*KDK[[#This Row],[Line]]</f>
        <v>0</v>
      </c>
      <c r="I17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1" s="4">
        <f t="shared" si="24"/>
        <v>1.5</v>
      </c>
      <c r="K171" s="6">
        <f>KDK[[#This Row],[Round Total Brick]]*KDK[[#This Row],[Amount of pre brick]]</f>
        <v>0</v>
      </c>
    </row>
    <row r="172" spans="1:11" x14ac:dyDescent="0.25">
      <c r="A172" s="22">
        <f t="shared" si="23"/>
        <v>171</v>
      </c>
      <c r="B172" s="17">
        <v>45588</v>
      </c>
      <c r="C172" s="4" t="str">
        <f>TEXT(KDK[[#This Row],[Date]],"dddd")</f>
        <v>Wednesday</v>
      </c>
      <c r="D172" s="4">
        <f>WEEKNUM(KDK[[#This Row],[Date]],2)</f>
        <v>43</v>
      </c>
      <c r="E172" s="14" t="s">
        <v>38</v>
      </c>
      <c r="F172" s="14">
        <f t="shared" si="22"/>
        <v>0</v>
      </c>
      <c r="G172" s="14">
        <f t="shared" si="22"/>
        <v>0</v>
      </c>
      <c r="H172" s="4">
        <f>KDK[[#This Row],[Brick]]*KDK[[#This Row],[Line]]</f>
        <v>0</v>
      </c>
      <c r="I17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2" s="4">
        <f t="shared" si="24"/>
        <v>1.5</v>
      </c>
      <c r="K172" s="6">
        <f>KDK[[#This Row],[Round Total Brick]]*KDK[[#This Row],[Amount of pre brick]]</f>
        <v>0</v>
      </c>
    </row>
    <row r="173" spans="1:11" x14ac:dyDescent="0.25">
      <c r="A173" s="22">
        <f t="shared" si="23"/>
        <v>172</v>
      </c>
      <c r="B173" s="17">
        <v>45589</v>
      </c>
      <c r="C173" s="4" t="str">
        <f>TEXT(KDK[[#This Row],[Date]],"dddd")</f>
        <v>Thursday</v>
      </c>
      <c r="D173" s="4">
        <f>WEEKNUM(KDK[[#This Row],[Date]],2)</f>
        <v>43</v>
      </c>
      <c r="E173" s="14" t="s">
        <v>26</v>
      </c>
      <c r="F173" s="14">
        <f t="shared" si="22"/>
        <v>0</v>
      </c>
      <c r="G173" s="14">
        <f t="shared" si="22"/>
        <v>0</v>
      </c>
      <c r="H173" s="4">
        <f>KDK[[#This Row],[Brick]]*KDK[[#This Row],[Line]]</f>
        <v>0</v>
      </c>
      <c r="I17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3" s="4">
        <f t="shared" si="24"/>
        <v>1.5</v>
      </c>
      <c r="K173" s="6">
        <f>KDK[[#This Row],[Round Total Brick]]*KDK[[#This Row],[Amount of pre brick]]</f>
        <v>0</v>
      </c>
    </row>
    <row r="174" spans="1:11" x14ac:dyDescent="0.25">
      <c r="A174" s="22">
        <f t="shared" si="23"/>
        <v>173</v>
      </c>
      <c r="B174" s="17">
        <v>45589</v>
      </c>
      <c r="C174" s="4" t="str">
        <f>TEXT(KDK[[#This Row],[Date]],"dddd")</f>
        <v>Thursday</v>
      </c>
      <c r="D174" s="4">
        <f>WEEKNUM(KDK[[#This Row],[Date]],2)</f>
        <v>43</v>
      </c>
      <c r="E174" s="14" t="s">
        <v>28</v>
      </c>
      <c r="F174" s="14">
        <f t="shared" si="22"/>
        <v>0</v>
      </c>
      <c r="G174" s="14">
        <f t="shared" si="22"/>
        <v>0</v>
      </c>
      <c r="H174" s="4">
        <f>KDK[[#This Row],[Brick]]*KDK[[#This Row],[Line]]</f>
        <v>0</v>
      </c>
      <c r="I17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4" s="4">
        <f t="shared" si="24"/>
        <v>1.5</v>
      </c>
      <c r="K174" s="6">
        <f>KDK[[#This Row],[Round Total Brick]]*KDK[[#This Row],[Amount of pre brick]]</f>
        <v>0</v>
      </c>
    </row>
    <row r="175" spans="1:11" x14ac:dyDescent="0.25">
      <c r="A175" s="22">
        <f t="shared" si="23"/>
        <v>174</v>
      </c>
      <c r="B175" s="17">
        <v>45589</v>
      </c>
      <c r="C175" s="4" t="str">
        <f>TEXT(KDK[[#This Row],[Date]],"dddd")</f>
        <v>Thursday</v>
      </c>
      <c r="D175" s="4">
        <f>WEEKNUM(KDK[[#This Row],[Date]],2)</f>
        <v>43</v>
      </c>
      <c r="E175" s="14" t="s">
        <v>17</v>
      </c>
      <c r="F175" s="14">
        <f t="shared" si="22"/>
        <v>0</v>
      </c>
      <c r="G175" s="14">
        <f t="shared" si="22"/>
        <v>0</v>
      </c>
      <c r="H175" s="4">
        <f>KDK[[#This Row],[Brick]]*KDK[[#This Row],[Line]]</f>
        <v>0</v>
      </c>
      <c r="I17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5" s="4">
        <f t="shared" si="24"/>
        <v>1.5</v>
      </c>
      <c r="K175" s="6">
        <f>KDK[[#This Row],[Round Total Brick]]*KDK[[#This Row],[Amount of pre brick]]</f>
        <v>0</v>
      </c>
    </row>
    <row r="176" spans="1:11" x14ac:dyDescent="0.25">
      <c r="A176" s="22">
        <f t="shared" si="23"/>
        <v>175</v>
      </c>
      <c r="B176" s="17">
        <v>45589</v>
      </c>
      <c r="C176" s="4" t="str">
        <f>TEXT(KDK[[#This Row],[Date]],"dddd")</f>
        <v>Thursday</v>
      </c>
      <c r="D176" s="4">
        <f>WEEKNUM(KDK[[#This Row],[Date]],2)</f>
        <v>43</v>
      </c>
      <c r="E176" s="14" t="s">
        <v>9</v>
      </c>
      <c r="F176" s="14">
        <f t="shared" si="22"/>
        <v>0</v>
      </c>
      <c r="G176" s="14">
        <f t="shared" si="22"/>
        <v>0</v>
      </c>
      <c r="H176" s="4">
        <f>KDK[[#This Row],[Brick]]*KDK[[#This Row],[Line]]</f>
        <v>0</v>
      </c>
      <c r="I176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6" s="4">
        <f t="shared" si="24"/>
        <v>1.5</v>
      </c>
      <c r="K176" s="6">
        <f>KDK[[#This Row],[Round Total Brick]]*KDK[[#This Row],[Amount of pre brick]]</f>
        <v>0</v>
      </c>
    </row>
    <row r="177" spans="1:11" x14ac:dyDescent="0.25">
      <c r="A177" s="22">
        <f t="shared" si="23"/>
        <v>176</v>
      </c>
      <c r="B177" s="17">
        <v>45589</v>
      </c>
      <c r="C177" s="4" t="str">
        <f>TEXT(KDK[[#This Row],[Date]],"dddd")</f>
        <v>Thursday</v>
      </c>
      <c r="D177" s="4">
        <f>WEEKNUM(KDK[[#This Row],[Date]],2)</f>
        <v>43</v>
      </c>
      <c r="E177" s="14" t="s">
        <v>19</v>
      </c>
      <c r="F177" s="14">
        <f t="shared" si="22"/>
        <v>0</v>
      </c>
      <c r="G177" s="14">
        <f t="shared" si="22"/>
        <v>0</v>
      </c>
      <c r="H177" s="4">
        <f>KDK[[#This Row],[Brick]]*KDK[[#This Row],[Line]]</f>
        <v>0</v>
      </c>
      <c r="I17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7" s="4">
        <f t="shared" si="24"/>
        <v>1.5</v>
      </c>
      <c r="K177" s="6">
        <f>KDK[[#This Row],[Round Total Brick]]*KDK[[#This Row],[Amount of pre brick]]</f>
        <v>0</v>
      </c>
    </row>
    <row r="178" spans="1:11" x14ac:dyDescent="0.25">
      <c r="A178" s="22">
        <f t="shared" si="23"/>
        <v>177</v>
      </c>
      <c r="B178" s="17">
        <v>45589</v>
      </c>
      <c r="C178" s="4" t="str">
        <f>TEXT(KDK[[#This Row],[Date]],"dddd")</f>
        <v>Thursday</v>
      </c>
      <c r="D178" s="4">
        <f>WEEKNUM(KDK[[#This Row],[Date]],2)</f>
        <v>43</v>
      </c>
      <c r="E178" s="14" t="s">
        <v>18</v>
      </c>
      <c r="F178" s="14">
        <f t="shared" si="22"/>
        <v>0</v>
      </c>
      <c r="G178" s="14">
        <f t="shared" si="22"/>
        <v>0</v>
      </c>
      <c r="H178" s="4">
        <f>KDK[[#This Row],[Brick]]*KDK[[#This Row],[Line]]</f>
        <v>0</v>
      </c>
      <c r="I17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8" s="4">
        <f t="shared" si="24"/>
        <v>1.5</v>
      </c>
      <c r="K178" s="6">
        <f>KDK[[#This Row],[Round Total Brick]]*KDK[[#This Row],[Amount of pre brick]]</f>
        <v>0</v>
      </c>
    </row>
    <row r="179" spans="1:11" x14ac:dyDescent="0.25">
      <c r="A179" s="22">
        <f t="shared" si="23"/>
        <v>178</v>
      </c>
      <c r="B179" s="17">
        <v>45589</v>
      </c>
      <c r="C179" s="4" t="str">
        <f>TEXT(KDK[[#This Row],[Date]],"dddd")</f>
        <v>Thursday</v>
      </c>
      <c r="D179" s="4">
        <f>WEEKNUM(KDK[[#This Row],[Date]],2)</f>
        <v>43</v>
      </c>
      <c r="E179" s="14" t="s">
        <v>38</v>
      </c>
      <c r="F179" s="14">
        <f t="shared" si="22"/>
        <v>0</v>
      </c>
      <c r="G179" s="14">
        <f t="shared" si="22"/>
        <v>0</v>
      </c>
      <c r="H179" s="4">
        <f>KDK[[#This Row],[Brick]]*KDK[[#This Row],[Line]]</f>
        <v>0</v>
      </c>
      <c r="I17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79" s="4">
        <f t="shared" si="24"/>
        <v>1.5</v>
      </c>
      <c r="K179" s="6">
        <f>KDK[[#This Row],[Round Total Brick]]*KDK[[#This Row],[Amount of pre brick]]</f>
        <v>0</v>
      </c>
    </row>
    <row r="180" spans="1:11" x14ac:dyDescent="0.25">
      <c r="A180" s="22">
        <f t="shared" si="23"/>
        <v>179</v>
      </c>
      <c r="B180" s="17">
        <v>45590</v>
      </c>
      <c r="C180" s="4" t="str">
        <f>TEXT(KDK[[#This Row],[Date]],"dddd")</f>
        <v>Friday</v>
      </c>
      <c r="D180" s="4">
        <f>WEEKNUM(KDK[[#This Row],[Date]],2)</f>
        <v>43</v>
      </c>
      <c r="E180" s="14" t="s">
        <v>19</v>
      </c>
      <c r="F180" s="14">
        <f t="shared" ref="F180:G187" si="25">_xlfn.IFNA(0,0)</f>
        <v>0</v>
      </c>
      <c r="G180" s="14">
        <f t="shared" si="25"/>
        <v>0</v>
      </c>
      <c r="H180" s="4">
        <f>KDK[[#This Row],[Brick]]*KDK[[#This Row],[Line]]</f>
        <v>0</v>
      </c>
      <c r="I180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0" s="4">
        <f t="shared" ref="J180:J186" si="26">_xlfn.IFNA(1.5,0)</f>
        <v>1.5</v>
      </c>
      <c r="K180" s="6">
        <f>KDK[[#This Row],[Round Total Brick]]*KDK[[#This Row],[Amount of pre brick]]</f>
        <v>0</v>
      </c>
    </row>
    <row r="181" spans="1:11" x14ac:dyDescent="0.25">
      <c r="A181" s="22">
        <f t="shared" si="23"/>
        <v>180</v>
      </c>
      <c r="B181" s="17">
        <v>45590</v>
      </c>
      <c r="C181" s="4" t="str">
        <f>TEXT(KDK[[#This Row],[Date]],"dddd")</f>
        <v>Friday</v>
      </c>
      <c r="D181" s="4">
        <f>WEEKNUM(KDK[[#This Row],[Date]],2)</f>
        <v>43</v>
      </c>
      <c r="E181" s="14" t="s">
        <v>17</v>
      </c>
      <c r="F181" s="14">
        <f t="shared" si="25"/>
        <v>0</v>
      </c>
      <c r="G181" s="14">
        <f t="shared" si="25"/>
        <v>0</v>
      </c>
      <c r="H181" s="4">
        <f>KDK[[#This Row],[Brick]]*KDK[[#This Row],[Line]]</f>
        <v>0</v>
      </c>
      <c r="I181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1" s="4">
        <f t="shared" si="26"/>
        <v>1.5</v>
      </c>
      <c r="K181" s="6">
        <f>KDK[[#This Row],[Round Total Brick]]*KDK[[#This Row],[Amount of pre brick]]</f>
        <v>0</v>
      </c>
    </row>
    <row r="182" spans="1:11" x14ac:dyDescent="0.25">
      <c r="A182" s="22">
        <f t="shared" si="23"/>
        <v>181</v>
      </c>
      <c r="B182" s="17">
        <v>45590</v>
      </c>
      <c r="C182" s="4" t="str">
        <f>TEXT(KDK[[#This Row],[Date]],"dddd")</f>
        <v>Friday</v>
      </c>
      <c r="D182" s="4">
        <f>WEEKNUM(KDK[[#This Row],[Date]],2)</f>
        <v>43</v>
      </c>
      <c r="E182" s="14" t="s">
        <v>9</v>
      </c>
      <c r="F182" s="14">
        <f>_xlfn.IFNA(0,0)</f>
        <v>0</v>
      </c>
      <c r="G182" s="14">
        <f t="shared" si="25"/>
        <v>0</v>
      </c>
      <c r="H182" s="4">
        <f>KDK[[#This Row],[Brick]]*KDK[[#This Row],[Line]]</f>
        <v>0</v>
      </c>
      <c r="I182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2" s="4">
        <f t="shared" si="26"/>
        <v>1.5</v>
      </c>
      <c r="K182" s="6">
        <f>KDK[[#This Row],[Round Total Brick]]*KDK[[#This Row],[Amount of pre brick]]</f>
        <v>0</v>
      </c>
    </row>
    <row r="183" spans="1:11" x14ac:dyDescent="0.25">
      <c r="A183" s="22">
        <f t="shared" si="23"/>
        <v>182</v>
      </c>
      <c r="B183" s="17">
        <v>45590</v>
      </c>
      <c r="C183" s="4" t="str">
        <f>TEXT(KDK[[#This Row],[Date]],"dddd")</f>
        <v>Friday</v>
      </c>
      <c r="D183" s="4">
        <f>WEEKNUM(KDK[[#This Row],[Date]],2)</f>
        <v>43</v>
      </c>
      <c r="E183" s="14" t="s">
        <v>18</v>
      </c>
      <c r="F183" s="14">
        <f t="shared" ref="F183:F184" si="27">_xlfn.IFNA(0,0)</f>
        <v>0</v>
      </c>
      <c r="G183" s="14">
        <f t="shared" si="25"/>
        <v>0</v>
      </c>
      <c r="H183" s="4">
        <f>KDK[[#This Row],[Brick]]*KDK[[#This Row],[Line]]</f>
        <v>0</v>
      </c>
      <c r="I183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3" s="4">
        <f t="shared" si="26"/>
        <v>1.5</v>
      </c>
      <c r="K183" s="6">
        <f>KDK[[#This Row],[Round Total Brick]]*KDK[[#This Row],[Amount of pre brick]]</f>
        <v>0</v>
      </c>
    </row>
    <row r="184" spans="1:11" x14ac:dyDescent="0.25">
      <c r="A184" s="22">
        <f t="shared" si="23"/>
        <v>183</v>
      </c>
      <c r="B184" s="17">
        <v>45590</v>
      </c>
      <c r="C184" s="4" t="str">
        <f>TEXT(KDK[[#This Row],[Date]],"dddd")</f>
        <v>Friday</v>
      </c>
      <c r="D184" s="4">
        <f>WEEKNUM(KDK[[#This Row],[Date]],2)</f>
        <v>43</v>
      </c>
      <c r="E184" s="14" t="s">
        <v>38</v>
      </c>
      <c r="F184" s="14">
        <f t="shared" si="27"/>
        <v>0</v>
      </c>
      <c r="G184" s="14">
        <f t="shared" si="25"/>
        <v>0</v>
      </c>
      <c r="H184" s="4">
        <f>KDK[[#This Row],[Brick]]*KDK[[#This Row],[Line]]</f>
        <v>0</v>
      </c>
      <c r="I184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4" s="4">
        <f t="shared" si="26"/>
        <v>1.5</v>
      </c>
      <c r="K184" s="6">
        <f>KDK[[#This Row],[Round Total Brick]]*KDK[[#This Row],[Amount of pre brick]]</f>
        <v>0</v>
      </c>
    </row>
    <row r="185" spans="1:11" x14ac:dyDescent="0.25">
      <c r="A185" s="22">
        <f t="shared" si="23"/>
        <v>184</v>
      </c>
      <c r="B185" s="17">
        <v>45591</v>
      </c>
      <c r="C185" s="4" t="str">
        <f>TEXT(KDK[[#This Row],[Date]],"dddd")</f>
        <v>Saturday</v>
      </c>
      <c r="D185" s="4">
        <f>WEEKNUM(KDK[[#This Row],[Date]],2)</f>
        <v>43</v>
      </c>
      <c r="E185" s="14" t="s">
        <v>19</v>
      </c>
      <c r="F185" s="14">
        <f t="shared" si="25"/>
        <v>0</v>
      </c>
      <c r="G185" s="14">
        <f t="shared" si="25"/>
        <v>0</v>
      </c>
      <c r="H185" s="4">
        <f>KDK[[#This Row],[Brick]]*KDK[[#This Row],[Line]]</f>
        <v>0</v>
      </c>
      <c r="I185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5" s="4">
        <f t="shared" si="26"/>
        <v>1.5</v>
      </c>
      <c r="K185" s="6">
        <f>KDK[[#This Row],[Round Total Brick]]*KDK[[#This Row],[Amount of pre brick]]</f>
        <v>0</v>
      </c>
    </row>
    <row r="186" spans="1:11" x14ac:dyDescent="0.25">
      <c r="A186" s="24">
        <f t="shared" si="23"/>
        <v>185</v>
      </c>
      <c r="B186" s="17">
        <v>45591</v>
      </c>
      <c r="C186" s="5" t="str">
        <f>TEXT(KDK[[#This Row],[Date]],"dddd")</f>
        <v>Saturday</v>
      </c>
      <c r="D186" s="5">
        <f>WEEKNUM(KDK[[#This Row],[Date]],2)</f>
        <v>43</v>
      </c>
      <c r="E186" s="15" t="s">
        <v>17</v>
      </c>
      <c r="F186" s="14">
        <f t="shared" si="25"/>
        <v>0</v>
      </c>
      <c r="G186" s="14">
        <f t="shared" si="25"/>
        <v>0</v>
      </c>
      <c r="H186" s="5">
        <f>KDK[[#This Row],[Brick]]*KDK[[#This Row],[Line]]</f>
        <v>0</v>
      </c>
      <c r="I186" s="5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6" s="5">
        <f t="shared" si="26"/>
        <v>1.5</v>
      </c>
      <c r="K186" s="7">
        <f>KDK[[#This Row],[Round Total Brick]]*KDK[[#This Row],[Amount of pre brick]]</f>
        <v>0</v>
      </c>
    </row>
    <row r="187" spans="1:11" x14ac:dyDescent="0.25">
      <c r="A187" s="22">
        <f t="shared" ref="A187:A189" si="28">ROW()-1</f>
        <v>186</v>
      </c>
      <c r="B187" s="17">
        <v>45591</v>
      </c>
      <c r="C187" s="4" t="str">
        <f>TEXT(KDK[[#This Row],[Date]],"dddd")</f>
        <v>Saturday</v>
      </c>
      <c r="D187" s="4">
        <f>WEEKNUM(KDK[[#This Row],[Date]],2)</f>
        <v>43</v>
      </c>
      <c r="E187" s="14" t="s">
        <v>9</v>
      </c>
      <c r="F187" s="14">
        <f t="shared" si="25"/>
        <v>0</v>
      </c>
      <c r="G187" s="14">
        <f t="shared" si="25"/>
        <v>0</v>
      </c>
      <c r="H187" s="4">
        <f>KDK[[#This Row],[Brick]]*KDK[[#This Row],[Line]]</f>
        <v>0</v>
      </c>
      <c r="I187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0</v>
      </c>
      <c r="J187" s="4">
        <f t="shared" ref="J187:J189" si="29">_xlfn.IFNA(1.5,0)</f>
        <v>1.5</v>
      </c>
      <c r="K187" s="6">
        <f>KDK[[#This Row],[Round Total Brick]]*KDK[[#This Row],[Amount of pre brick]]</f>
        <v>0</v>
      </c>
    </row>
    <row r="188" spans="1:11" x14ac:dyDescent="0.25">
      <c r="A188" s="22">
        <f t="shared" si="28"/>
        <v>187</v>
      </c>
      <c r="B188" s="17">
        <v>45591</v>
      </c>
      <c r="C188" s="4" t="str">
        <f>TEXT(KDK[[#This Row],[Date]],"dddd")</f>
        <v>Saturday</v>
      </c>
      <c r="D188" s="4">
        <f>WEEKNUM(KDK[[#This Row],[Date]],2)</f>
        <v>43</v>
      </c>
      <c r="E188" s="14" t="s">
        <v>38</v>
      </c>
      <c r="F188" s="14">
        <v>26</v>
      </c>
      <c r="G188" s="14">
        <v>27</v>
      </c>
      <c r="H188" s="4">
        <f>KDK[[#This Row],[Brick]]*KDK[[#This Row],[Line]]</f>
        <v>702</v>
      </c>
      <c r="I188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700</v>
      </c>
      <c r="J188" s="4">
        <f t="shared" si="29"/>
        <v>1.5</v>
      </c>
      <c r="K188" s="6">
        <f>KDK[[#This Row],[Round Total Brick]]*KDK[[#This Row],[Amount of pre brick]]</f>
        <v>1050</v>
      </c>
    </row>
    <row r="189" spans="1:11" x14ac:dyDescent="0.25">
      <c r="A189" s="22">
        <f t="shared" si="28"/>
        <v>188</v>
      </c>
      <c r="B189" s="17">
        <v>45591</v>
      </c>
      <c r="C189" s="4" t="str">
        <f>TEXT(KDK[[#This Row],[Date]],"dddd")</f>
        <v>Saturday</v>
      </c>
      <c r="D189" s="4">
        <f>WEEKNUM(KDK[[#This Row],[Date]],2)</f>
        <v>43</v>
      </c>
      <c r="E189" s="14" t="s">
        <v>18</v>
      </c>
      <c r="F189" s="14">
        <v>29</v>
      </c>
      <c r="G189" s="14">
        <v>42</v>
      </c>
      <c r="H189" s="4">
        <f>KDK[[#This Row],[Brick]]*KDK[[#This Row],[Line]]</f>
        <v>1218</v>
      </c>
      <c r="I189" s="4">
        <f>IF(MOD(KDK[[#This Row],[Total Brick]],100)&gt;90,KDK[[#This Row],[Total Brick]] - MOD(KDK[[#This Row],[Total Brick]],100) + 100,IF(MOD(KDK[[#This Row],[Total Brick]],100)&gt;40,KDK[[#This Row],[Total Brick]] - MOD(KDK[[#This Row],[Total Brick]],100)+50,KDK[[#This Row],[Total Brick]] - MOD(KDK[[#This Row],[Total Brick]],100)))</f>
        <v>1200</v>
      </c>
      <c r="J189" s="4">
        <f t="shared" si="29"/>
        <v>1.5</v>
      </c>
      <c r="K189" s="6">
        <f>KDK[[#This Row],[Round Total Brick]]*KDK[[#This Row],[Amount of pre brick]]</f>
        <v>1800</v>
      </c>
    </row>
    <row r="190" spans="1:11" x14ac:dyDescent="0.25">
      <c r="B190" s="18"/>
      <c r="K190" s="10"/>
    </row>
    <row r="191" spans="1:11" x14ac:dyDescent="0.25">
      <c r="B191" s="18"/>
      <c r="K191" s="10"/>
    </row>
    <row r="192" spans="1:11" x14ac:dyDescent="0.25">
      <c r="B192" s="18"/>
      <c r="K192" s="10"/>
    </row>
    <row r="193" spans="2:11" x14ac:dyDescent="0.25">
      <c r="B193" s="18"/>
      <c r="K193" s="10"/>
    </row>
    <row r="194" spans="2:11" x14ac:dyDescent="0.25">
      <c r="B194" s="18"/>
      <c r="K194" s="10"/>
    </row>
    <row r="195" spans="2:11" x14ac:dyDescent="0.25">
      <c r="B195" s="18"/>
      <c r="K195" s="10"/>
    </row>
    <row r="196" spans="2:11" x14ac:dyDescent="0.25">
      <c r="B196" s="18"/>
      <c r="K196" s="10"/>
    </row>
    <row r="197" spans="2:11" x14ac:dyDescent="0.25">
      <c r="B197" s="18"/>
      <c r="K197" s="10"/>
    </row>
    <row r="198" spans="2:11" x14ac:dyDescent="0.25">
      <c r="B198" s="18"/>
      <c r="K198" s="10"/>
    </row>
  </sheetData>
  <sheetProtection insertRows="0" autoFilter="0"/>
  <conditionalFormatting sqref="A1:XFD1 B2:XFD189 A190:XFD1048576">
    <cfRule type="cellIs" dxfId="1" priority="1" operator="equal">
      <formula>0</formula>
    </cfRule>
  </conditionalFormatting>
  <dataValidations count="1">
    <dataValidation type="list" allowBlank="1" showInputMessage="1" showErrorMessage="1" sqref="E1:E1048576" xr:uid="{35CE56B6-04D7-451A-89F8-D7A01DDE5CC5}">
      <formula1>"Dhuri,Ram Charan,Settu,Ramesh,Ramseesh"</formula1>
    </dataValidation>
  </dataValidations>
  <pageMargins left="0.7" right="0.7" top="0.75" bottom="0.75" header="0.3" footer="0.3"/>
  <ignoredErrors>
    <ignoredError sqref="H1:H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B689-27BF-488F-B950-5CC8D88772C3}">
  <dimension ref="B1:J28"/>
  <sheetViews>
    <sheetView tabSelected="1" workbookViewId="0">
      <selection activeCell="C2" sqref="C2"/>
    </sheetView>
  </sheetViews>
  <sheetFormatPr defaultRowHeight="15.75" x14ac:dyDescent="0.25"/>
  <cols>
    <col min="1" max="1" width="9" style="1"/>
    <col min="2" max="2" width="16.625" style="1" bestFit="1" customWidth="1"/>
    <col min="3" max="3" width="12.625" style="1" customWidth="1"/>
    <col min="4" max="4" width="14.75" style="1" bestFit="1" customWidth="1"/>
    <col min="5" max="5" width="11.875" style="1" bestFit="1" customWidth="1"/>
    <col min="6" max="6" width="9" style="1"/>
    <col min="7" max="7" width="12.375" style="1" bestFit="1" customWidth="1"/>
    <col min="8" max="8" width="5" style="1" bestFit="1" customWidth="1"/>
    <col min="9" max="9" width="17.5" style="1" bestFit="1" customWidth="1"/>
    <col min="10" max="10" width="14.5" style="1" bestFit="1" customWidth="1"/>
    <col min="11" max="16384" width="9" style="1"/>
  </cols>
  <sheetData>
    <row r="1" spans="2:10" x14ac:dyDescent="0.25">
      <c r="G1"/>
      <c r="H1"/>
    </row>
    <row r="2" spans="2:10" x14ac:dyDescent="0.25">
      <c r="B2" s="12" t="s">
        <v>31</v>
      </c>
      <c r="C2" s="13">
        <v>40</v>
      </c>
      <c r="G2"/>
      <c r="H2"/>
      <c r="I2"/>
    </row>
    <row r="3" spans="2:10" x14ac:dyDescent="0.25">
      <c r="G3"/>
      <c r="H3"/>
      <c r="I3"/>
      <c r="J3"/>
    </row>
    <row r="4" spans="2:10" x14ac:dyDescent="0.25">
      <c r="B4" s="1" t="s">
        <v>21</v>
      </c>
      <c r="C4" s="1" t="s">
        <v>29</v>
      </c>
      <c r="D4" s="1" t="s">
        <v>22</v>
      </c>
      <c r="E4" s="1" t="s">
        <v>23</v>
      </c>
      <c r="G4"/>
      <c r="H4"/>
      <c r="I4"/>
      <c r="J4"/>
    </row>
    <row r="5" spans="2:10" x14ac:dyDescent="0.25">
      <c r="B5" s="1" t="s">
        <v>18</v>
      </c>
      <c r="C5" s="1">
        <f>COUNTIFS(KDK[Name],'Week Clu'!B5,KDK[Line],"&gt;0",KDK[No Of Week],$C$2)</f>
        <v>0</v>
      </c>
      <c r="D5" s="1">
        <f>SUMIFS(KDK[Round Total Brick],KDK[Name],B5,KDK[No Of Week],$C$2)</f>
        <v>0</v>
      </c>
      <c r="E5" s="8">
        <f>SUMIFS(KDK[Total Amount],KDK[Name],Table2[[#This Row],[Name ]],KDK[No Of Week],$C$2)</f>
        <v>0</v>
      </c>
      <c r="G5"/>
      <c r="H5"/>
      <c r="I5"/>
      <c r="J5"/>
    </row>
    <row r="6" spans="2:10" x14ac:dyDescent="0.25">
      <c r="B6" s="1" t="s">
        <v>8</v>
      </c>
      <c r="C6" s="1">
        <f>COUNTIFS(KDK[Name],'Week Clu'!B6,KDK[Line],"&gt;0",KDK[No Of Week],$C$2)</f>
        <v>0</v>
      </c>
      <c r="D6" s="1">
        <f>SUMIFS(KDK[Round Total Brick],KDK[Name],B6,KDK[No Of Week],$C$2)</f>
        <v>0</v>
      </c>
      <c r="E6" s="8">
        <f>SUMIFS(KDK[Total Amount],KDK[Name],Table2[[#This Row],[Name ]],KDK[No Of Week],$C$2)</f>
        <v>0</v>
      </c>
      <c r="G6"/>
      <c r="H6"/>
      <c r="I6"/>
      <c r="J6"/>
    </row>
    <row r="7" spans="2:10" x14ac:dyDescent="0.25">
      <c r="B7" s="1" t="s">
        <v>17</v>
      </c>
      <c r="C7" s="1">
        <f>COUNTIFS(KDK[Name],'Week Clu'!B7,KDK[Line],"&gt;0",KDK[No Of Week],$C$2)</f>
        <v>2</v>
      </c>
      <c r="D7" s="1">
        <f>SUMIFS(KDK[Round Total Brick],KDK[Name],B7,KDK[No Of Week],$C$2)</f>
        <v>2100</v>
      </c>
      <c r="E7" s="8">
        <f>SUMIFS(KDK[Total Amount],KDK[Name],Table2[[#This Row],[Name ]],KDK[No Of Week],$C$2)</f>
        <v>3150</v>
      </c>
      <c r="G7"/>
      <c r="H7"/>
      <c r="I7"/>
      <c r="J7"/>
    </row>
    <row r="8" spans="2:10" x14ac:dyDescent="0.25">
      <c r="B8" s="1" t="s">
        <v>9</v>
      </c>
      <c r="C8" s="1">
        <f>COUNTIFS(KDK[Name],'Week Clu'!B8,KDK[Line],"&gt;0",KDK[No Of Week],$C$2)</f>
        <v>3</v>
      </c>
      <c r="D8" s="1">
        <f>SUMIFS(KDK[Round Total Brick],KDK[Name],B8,KDK[No Of Week],$C$2)</f>
        <v>2850</v>
      </c>
      <c r="E8" s="8">
        <f>SUMIFS(KDK[Total Amount],KDK[Name],Table2[[#This Row],[Name ]],KDK[No Of Week],$C$2)</f>
        <v>4275</v>
      </c>
      <c r="G8"/>
      <c r="H8"/>
      <c r="I8"/>
      <c r="J8"/>
    </row>
    <row r="9" spans="2:10" x14ac:dyDescent="0.25">
      <c r="B9" s="1" t="s">
        <v>19</v>
      </c>
      <c r="C9" s="1">
        <f>COUNTIFS(KDK[Name],'Week Clu'!B9,KDK[Line],"&gt;0",KDK[No Of Week],$C$2)</f>
        <v>1</v>
      </c>
      <c r="D9" s="1">
        <f>SUMIFS(KDK[Round Total Brick],KDK[Name],B9,KDK[No Of Week],$C$2)</f>
        <v>1250</v>
      </c>
      <c r="E9" s="9">
        <f>SUMIFS(KDK[Total Amount],KDK[Name],Table2[[#This Row],[Name ]],KDK[No Of Week],$C$2)</f>
        <v>1875</v>
      </c>
      <c r="G9"/>
      <c r="H9"/>
      <c r="I9"/>
      <c r="J9"/>
    </row>
    <row r="10" spans="2:10" x14ac:dyDescent="0.25">
      <c r="B10" s="1" t="s">
        <v>26</v>
      </c>
      <c r="C10" s="1">
        <f>COUNTIFS(KDK[Name],'Week Clu'!B10,KDK[Line],"&gt;0",KDK[No Of Week],$C$2)</f>
        <v>3</v>
      </c>
      <c r="D10" s="1">
        <f>SUMIFS(KDK[Round Total Brick],KDK[Name],B10,KDK[No Of Week],$C$2)</f>
        <v>3250</v>
      </c>
      <c r="E10" s="9">
        <f>SUMIFS(KDK[Total Amount],KDK[Name],Table2[[#This Row],[Name ]],KDK[No Of Week],$C$2)</f>
        <v>4875</v>
      </c>
      <c r="G10"/>
      <c r="H10"/>
      <c r="I10"/>
      <c r="J10"/>
    </row>
    <row r="11" spans="2:10" x14ac:dyDescent="0.25">
      <c r="B11" s="1" t="s">
        <v>28</v>
      </c>
      <c r="C11" s="1">
        <f>COUNTIFS(KDK[Name],'Week Clu'!B11,KDK[Line],"&gt;0",KDK[No Of Week],$C$2)</f>
        <v>0</v>
      </c>
      <c r="D11" s="1">
        <f>SUMIFS(KDK[Round Total Brick],KDK[Name],B11,KDK[No Of Week],$C$2)</f>
        <v>0</v>
      </c>
      <c r="E11" s="8">
        <f>SUMIFS(KDK[Total Amount],KDK[Name],Table2[[#This Row],[Name ]],KDK[No Of Week],$C$2)</f>
        <v>0</v>
      </c>
      <c r="G11"/>
      <c r="H11"/>
      <c r="I11"/>
      <c r="J11"/>
    </row>
    <row r="12" spans="2:10" x14ac:dyDescent="0.25">
      <c r="B12" s="25" t="s">
        <v>24</v>
      </c>
      <c r="C12" s="25"/>
      <c r="D12" s="25">
        <f>SUBTOTAL(109,Table2[Total Bricks])</f>
        <v>9450</v>
      </c>
      <c r="E12" s="26">
        <f>SUBTOTAL(109,Table2[Amount])</f>
        <v>14175</v>
      </c>
      <c r="G12"/>
      <c r="H12"/>
      <c r="I12"/>
      <c r="J12"/>
    </row>
    <row r="13" spans="2:10" x14ac:dyDescent="0.25">
      <c r="E13" s="8"/>
      <c r="G13"/>
      <c r="H13"/>
      <c r="I13"/>
      <c r="J13"/>
    </row>
    <row r="14" spans="2:10" x14ac:dyDescent="0.25">
      <c r="E14" s="8"/>
      <c r="G14"/>
      <c r="H14"/>
      <c r="I14"/>
      <c r="J14"/>
    </row>
    <row r="15" spans="2:10" x14ac:dyDescent="0.25">
      <c r="E15" s="8"/>
      <c r="G15"/>
      <c r="H15"/>
      <c r="I15"/>
      <c r="J15"/>
    </row>
    <row r="16" spans="2:10" x14ac:dyDescent="0.25">
      <c r="E16" s="8"/>
      <c r="G16"/>
      <c r="H16"/>
      <c r="I16"/>
      <c r="J16"/>
    </row>
    <row r="17" spans="5:10" x14ac:dyDescent="0.25">
      <c r="E17" s="8"/>
      <c r="G17"/>
      <c r="H17"/>
      <c r="I17"/>
      <c r="J17"/>
    </row>
    <row r="18" spans="5:10" x14ac:dyDescent="0.25">
      <c r="G18"/>
      <c r="H18"/>
      <c r="I18"/>
      <c r="J18"/>
    </row>
    <row r="19" spans="5:10" x14ac:dyDescent="0.25">
      <c r="G19"/>
      <c r="H19"/>
      <c r="I19"/>
      <c r="J19"/>
    </row>
    <row r="20" spans="5:10" x14ac:dyDescent="0.25">
      <c r="G20"/>
      <c r="H20"/>
      <c r="I20"/>
      <c r="J20"/>
    </row>
    <row r="21" spans="5:10" x14ac:dyDescent="0.25">
      <c r="G21"/>
    </row>
    <row r="22" spans="5:10" x14ac:dyDescent="0.25">
      <c r="G22"/>
    </row>
    <row r="23" spans="5:10" x14ac:dyDescent="0.25">
      <c r="G23"/>
    </row>
    <row r="24" spans="5:10" x14ac:dyDescent="0.25">
      <c r="G24"/>
    </row>
    <row r="25" spans="5:10" x14ac:dyDescent="0.25">
      <c r="G25"/>
    </row>
    <row r="26" spans="5:10" x14ac:dyDescent="0.25">
      <c r="G26"/>
    </row>
    <row r="27" spans="5:10" x14ac:dyDescent="0.25">
      <c r="G27"/>
    </row>
    <row r="28" spans="5:10" x14ac:dyDescent="0.25">
      <c r="G28"/>
    </row>
  </sheetData>
  <phoneticPr fontId="2" type="noConversion"/>
  <conditionalFormatting sqref="E1:XFD2 E3:F3 J3:XFD19 B4:F11 F12:F19 B13:E1048576 A14:A1048576 F20:XFD1048576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FB1037-AFD3-40FC-BB56-005C489595EC}">
          <x14:formula1>
            <xm:f>Emp!$B$2:$B$6</xm:f>
          </x14:formula1>
          <xm:sqref>A14:A1048576 B18:B1048576 C13:C17 C11</xm:sqref>
        </x14:dataValidation>
        <x14:dataValidation type="list" allowBlank="1" showInputMessage="1" showErrorMessage="1" xr:uid="{37ECA214-5539-4E77-89A5-D088E33630DD}">
          <x14:formula1>
            <xm:f>Emp!$B$2:B6</xm:f>
          </x14:formula1>
          <xm:sqref>B5:B11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7726-B673-4D2F-9ECC-2886C7306962}">
  <dimension ref="A1:H8"/>
  <sheetViews>
    <sheetView workbookViewId="0">
      <selection activeCell="C9" sqref="C9"/>
    </sheetView>
  </sheetViews>
  <sheetFormatPr defaultColWidth="11.375" defaultRowHeight="15.75" x14ac:dyDescent="0.25"/>
  <cols>
    <col min="1" max="16384" width="11.375" style="1"/>
  </cols>
  <sheetData>
    <row r="1" spans="1:8" x14ac:dyDescent="0.25">
      <c r="A1" s="21" t="s">
        <v>7</v>
      </c>
      <c r="B1" s="21" t="s">
        <v>0</v>
      </c>
      <c r="C1" s="21" t="s">
        <v>37</v>
      </c>
      <c r="D1" s="21" t="s">
        <v>32</v>
      </c>
      <c r="E1" s="21" t="s">
        <v>23</v>
      </c>
      <c r="F1" s="21" t="s">
        <v>33</v>
      </c>
      <c r="G1" s="21" t="s">
        <v>34</v>
      </c>
      <c r="H1" s="21" t="s">
        <v>35</v>
      </c>
    </row>
    <row r="2" spans="1:8" x14ac:dyDescent="0.25">
      <c r="A2" s="1" t="s">
        <v>17</v>
      </c>
      <c r="B2" s="11">
        <f t="shared" ref="B2:B8" ca="1" si="0">TODAY()</f>
        <v>45793</v>
      </c>
      <c r="C2" s="1">
        <v>40</v>
      </c>
      <c r="D2" s="1">
        <f>SUMIFS(KDK[Round Total Brick],KDK[Name],Amount!A2,KDK[No Of Week],Table4[[#This Row],[No.Week]])</f>
        <v>2100</v>
      </c>
      <c r="E2" s="8">
        <f>SUMIFS(KDK[Total Amount],KDK[Name],A2,KDK[No Of Week],Table4[[#This Row],[No.Week]])</f>
        <v>3150</v>
      </c>
      <c r="F2" s="8">
        <f>_xlfn.IFNA(0,"")</f>
        <v>0</v>
      </c>
      <c r="G2" s="8">
        <f t="shared" ref="G2:H8" si="1">_xlfn.IFNA(0,"")</f>
        <v>0</v>
      </c>
      <c r="H2" s="8">
        <f t="shared" si="1"/>
        <v>0</v>
      </c>
    </row>
    <row r="3" spans="1:8" x14ac:dyDescent="0.25">
      <c r="A3" s="1" t="s">
        <v>18</v>
      </c>
      <c r="B3" s="11">
        <f t="shared" ca="1" si="0"/>
        <v>45793</v>
      </c>
      <c r="C3" s="1">
        <v>40</v>
      </c>
      <c r="D3" s="1">
        <f>SUMIFS(KDK[Round Total Brick],KDK[Name],Amount!A3,KDK[No Of Week],Table4[[#This Row],[No.Week]])</f>
        <v>0</v>
      </c>
      <c r="E3" s="8">
        <f>SUMIFS(KDK[Total Amount],KDK[Name],A3,KDK[No Of Week],Table4[[#This Row],[No.Week]])</f>
        <v>0</v>
      </c>
      <c r="F3" s="8">
        <f t="shared" ref="F3:F8" si="2">_xlfn.IFNA(0,"")</f>
        <v>0</v>
      </c>
      <c r="G3" s="8">
        <f t="shared" si="1"/>
        <v>0</v>
      </c>
      <c r="H3" s="8">
        <f t="shared" si="1"/>
        <v>0</v>
      </c>
    </row>
    <row r="4" spans="1:8" x14ac:dyDescent="0.25">
      <c r="A4" s="1" t="s">
        <v>8</v>
      </c>
      <c r="B4" s="11">
        <f t="shared" ca="1" si="0"/>
        <v>45793</v>
      </c>
      <c r="C4" s="1">
        <v>40</v>
      </c>
      <c r="D4" s="1">
        <f>SUMIFS(KDK[Round Total Brick],KDK[Name],Amount!A4,KDK[No Of Week],Table4[[#This Row],[No.Week]])</f>
        <v>0</v>
      </c>
      <c r="E4" s="8">
        <f>SUMIFS(KDK[Total Amount],KDK[Name],A4,KDK[No Of Week],Table4[[#This Row],[No.Week]])</f>
        <v>0</v>
      </c>
      <c r="F4" s="8">
        <f t="shared" si="2"/>
        <v>0</v>
      </c>
      <c r="G4" s="8">
        <f t="shared" si="1"/>
        <v>0</v>
      </c>
      <c r="H4" s="8">
        <f t="shared" si="1"/>
        <v>0</v>
      </c>
    </row>
    <row r="5" spans="1:8" x14ac:dyDescent="0.25">
      <c r="A5" s="1" t="s">
        <v>9</v>
      </c>
      <c r="B5" s="11">
        <f t="shared" ca="1" si="0"/>
        <v>45793</v>
      </c>
      <c r="C5" s="1">
        <v>40</v>
      </c>
      <c r="D5" s="1">
        <f>SUMIFS(KDK[Round Total Brick],KDK[Name],Amount!A5,KDK[No Of Week],Table4[[#This Row],[No.Week]])</f>
        <v>2850</v>
      </c>
      <c r="E5" s="8">
        <f>SUMIFS(KDK[Total Amount],KDK[Name],A5,KDK[No Of Week],Table4[[#This Row],[No.Week]])</f>
        <v>4275</v>
      </c>
      <c r="F5" s="8">
        <f t="shared" si="2"/>
        <v>0</v>
      </c>
      <c r="G5" s="8">
        <f t="shared" si="1"/>
        <v>0</v>
      </c>
      <c r="H5" s="8">
        <f t="shared" si="1"/>
        <v>0</v>
      </c>
    </row>
    <row r="6" spans="1:8" x14ac:dyDescent="0.25">
      <c r="A6" s="1" t="s">
        <v>19</v>
      </c>
      <c r="B6" s="11">
        <f t="shared" ca="1" si="0"/>
        <v>45793</v>
      </c>
      <c r="C6" s="1">
        <v>40</v>
      </c>
      <c r="D6" s="1">
        <f>SUMIFS(KDK[Round Total Brick],KDK[Name],Amount!A6,KDK[No Of Week],Table4[[#This Row],[No.Week]])</f>
        <v>1250</v>
      </c>
      <c r="E6" s="8">
        <f>SUMIFS(KDK[Total Amount],KDK[Name],A6,KDK[No Of Week],Table4[[#This Row],[No.Week]])</f>
        <v>1875</v>
      </c>
      <c r="F6" s="8">
        <f t="shared" si="2"/>
        <v>0</v>
      </c>
      <c r="G6" s="8">
        <f t="shared" si="1"/>
        <v>0</v>
      </c>
      <c r="H6" s="8">
        <f t="shared" si="1"/>
        <v>0</v>
      </c>
    </row>
    <row r="7" spans="1:8" x14ac:dyDescent="0.25">
      <c r="A7" s="1" t="s">
        <v>26</v>
      </c>
      <c r="B7" s="11">
        <f t="shared" ca="1" si="0"/>
        <v>45793</v>
      </c>
      <c r="C7" s="1">
        <v>40</v>
      </c>
      <c r="D7" s="1">
        <f>SUMIFS(KDK[Round Total Brick],KDK[Name],Amount!A7,KDK[No Of Week],Table4[[#This Row],[No.Week]])</f>
        <v>3250</v>
      </c>
      <c r="E7" s="8">
        <f>SUMIFS(KDK[Total Amount],KDK[Name],A7,KDK[No Of Week],Table4[[#This Row],[No.Week]])</f>
        <v>4875</v>
      </c>
      <c r="F7" s="8">
        <f t="shared" si="2"/>
        <v>0</v>
      </c>
      <c r="G7" s="8">
        <f t="shared" si="1"/>
        <v>0</v>
      </c>
      <c r="H7" s="8">
        <f t="shared" si="1"/>
        <v>0</v>
      </c>
    </row>
    <row r="8" spans="1:8" x14ac:dyDescent="0.25">
      <c r="A8" s="1" t="s">
        <v>28</v>
      </c>
      <c r="B8" s="11">
        <f t="shared" ca="1" si="0"/>
        <v>45793</v>
      </c>
      <c r="C8" s="1">
        <v>41</v>
      </c>
      <c r="D8" s="1">
        <f>SUMIFS(KDK[Round Total Brick],KDK[Name],Amount!A8,KDK[No Of Week],Table4[[#This Row],[No.Week]])</f>
        <v>2150</v>
      </c>
      <c r="E8" s="8">
        <f>SUMIFS(KDK[Total Amount],KDK[Name],A8,KDK[No Of Week],Table4[[#This Row],[No.Week]])</f>
        <v>3225</v>
      </c>
      <c r="F8" s="8">
        <f t="shared" si="2"/>
        <v>0</v>
      </c>
      <c r="G8" s="8">
        <f t="shared" si="1"/>
        <v>0</v>
      </c>
      <c r="H8" s="8">
        <f t="shared" si="1"/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1B51E4-00BD-4DC2-886D-6807B7F23086}">
          <x14:formula1>
            <xm:f>Emp!$B$2:C2</xm:f>
          </x14:formula1>
          <xm:sqref>A1048571:A1048576</xm:sqref>
        </x14:dataValidation>
        <x14:dataValidation type="list" allowBlank="1" showInputMessage="1" showErrorMessage="1" xr:uid="{8EC63B51-6B75-4AF4-BF72-73D153DA0C8F}">
          <x14:formula1>
            <xm:f>Emp!$B$2:C11</xm:f>
          </x14:formula1>
          <xm:sqref>A1:A1048570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2EB7-2BA4-46CF-B42A-0117E1DD9502}">
  <dimension ref="A1:C8"/>
  <sheetViews>
    <sheetView workbookViewId="0">
      <selection activeCell="B5" sqref="B5"/>
    </sheetView>
  </sheetViews>
  <sheetFormatPr defaultColWidth="11.875" defaultRowHeight="19.5" customHeight="1" x14ac:dyDescent="0.25"/>
  <cols>
    <col min="1" max="2" width="11.875" style="1"/>
    <col min="3" max="3" width="12.625" style="1" customWidth="1"/>
    <col min="4" max="16384" width="11.875" style="1"/>
  </cols>
  <sheetData>
    <row r="1" spans="1:3" ht="19.5" customHeight="1" x14ac:dyDescent="0.25">
      <c r="A1" s="1" t="s">
        <v>10</v>
      </c>
      <c r="B1" s="1" t="s">
        <v>7</v>
      </c>
      <c r="C1" s="1" t="s">
        <v>16</v>
      </c>
    </row>
    <row r="2" spans="1:3" ht="19.5" customHeight="1" x14ac:dyDescent="0.25">
      <c r="A2" s="1" t="s">
        <v>11</v>
      </c>
      <c r="B2" s="1" t="s">
        <v>17</v>
      </c>
    </row>
    <row r="3" spans="1:3" ht="19.5" customHeight="1" x14ac:dyDescent="0.25">
      <c r="A3" s="1" t="s">
        <v>12</v>
      </c>
      <c r="B3" s="1" t="s">
        <v>18</v>
      </c>
      <c r="C3" s="1">
        <v>8757007762</v>
      </c>
    </row>
    <row r="4" spans="1:3" ht="19.5" customHeight="1" x14ac:dyDescent="0.25">
      <c r="A4" s="1" t="s">
        <v>13</v>
      </c>
      <c r="B4" s="1" t="s">
        <v>38</v>
      </c>
      <c r="C4" s="1">
        <v>6204996078</v>
      </c>
    </row>
    <row r="5" spans="1:3" ht="19.5" customHeight="1" x14ac:dyDescent="0.25">
      <c r="A5" s="1" t="s">
        <v>14</v>
      </c>
      <c r="B5" s="1" t="s">
        <v>9</v>
      </c>
      <c r="C5" s="1">
        <v>7904808713</v>
      </c>
    </row>
    <row r="6" spans="1:3" ht="19.5" customHeight="1" x14ac:dyDescent="0.25">
      <c r="A6" s="1" t="s">
        <v>15</v>
      </c>
      <c r="B6" s="1" t="s">
        <v>19</v>
      </c>
    </row>
    <row r="7" spans="1:3" ht="19.5" customHeight="1" x14ac:dyDescent="0.25">
      <c r="A7" s="1" t="s">
        <v>25</v>
      </c>
      <c r="B7" s="1" t="s">
        <v>26</v>
      </c>
    </row>
    <row r="8" spans="1:3" ht="19.5" customHeight="1" x14ac:dyDescent="0.25">
      <c r="A8" s="1" t="s">
        <v>27</v>
      </c>
      <c r="B8" s="1" t="s">
        <v>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57CB2B7-9BB6-419D-A72F-2C0F7CB6638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FDE2DD6-4A1E-4CBC-8A43-E797495DCE17}">
  <ds:schemaRefs/>
</ds:datastoreItem>
</file>

<file path=customXml/itemProps3.xml><?xml version="1.0" encoding="utf-8"?>
<ds:datastoreItem xmlns:ds="http://schemas.openxmlformats.org/officeDocument/2006/customXml" ds:itemID="{613D075F-E24C-48CD-8335-E2CB9C4B2D7F}">
  <ds:schemaRefs/>
</ds:datastoreItem>
</file>

<file path=customXml/itemProps4.xml><?xml version="1.0" encoding="utf-8"?>
<ds:datastoreItem xmlns:ds="http://schemas.openxmlformats.org/officeDocument/2006/customXml" ds:itemID="{3BE81429-E0AC-404E-AB85-32DE1910B329}">
  <ds:schemaRefs/>
</ds:datastoreItem>
</file>

<file path=customXml/itemProps5.xml><?xml version="1.0" encoding="utf-8"?>
<ds:datastoreItem xmlns:ds="http://schemas.openxmlformats.org/officeDocument/2006/customXml" ds:itemID="{F168F891-9A77-41D1-A4FA-63D40118239E}">
  <ds:schemaRefs/>
</ds:datastoreItem>
</file>

<file path=customXml/itemProps6.xml><?xml version="1.0" encoding="utf-8"?>
<ds:datastoreItem xmlns:ds="http://schemas.openxmlformats.org/officeDocument/2006/customXml" ds:itemID="{622137AE-BC6F-40DF-AEE7-858541D0B11B}">
  <ds:schemaRefs/>
</ds:datastoreItem>
</file>

<file path=customXml/itemProps7.xml><?xml version="1.0" encoding="utf-8"?>
<ds:datastoreItem xmlns:ds="http://schemas.openxmlformats.org/officeDocument/2006/customXml" ds:itemID="{F22747C1-1323-4088-931D-503E6888EF1B}">
  <ds:schemaRefs/>
</ds:datastoreItem>
</file>

<file path=customXml/itemProps8.xml><?xml version="1.0" encoding="utf-8"?>
<ds:datastoreItem xmlns:ds="http://schemas.openxmlformats.org/officeDocument/2006/customXml" ds:itemID="{66B085C9-E668-45B3-A4AA-4066927BD132}">
  <ds:schemaRefs/>
</ds:datastoreItem>
</file>

<file path=customXml/itemProps9.xml><?xml version="1.0" encoding="utf-8"?>
<ds:datastoreItem xmlns:ds="http://schemas.openxmlformats.org/officeDocument/2006/customXml" ds:itemID="{7EFD89FA-11C0-428B-AB09-5F19ABEFB66A}">
  <ds:schemaRefs/>
</ds:datastoreItem>
</file>

<file path=customXml/itemProps10.xml><?xml version="1.0" encoding="utf-8"?>
<ds:datastoreItem xmlns:ds="http://schemas.openxmlformats.org/officeDocument/2006/customXml" ds:itemID="{ADB15EF5-2A9B-4084-895D-85BBEA63BF1B}">
  <ds:schemaRefs/>
</ds:datastoreItem>
</file>

<file path=customXml/itemProps11.xml><?xml version="1.0" encoding="utf-8"?>
<ds:datastoreItem xmlns:ds="http://schemas.openxmlformats.org/officeDocument/2006/customXml" ds:itemID="{A8F2A050-1768-487A-888C-7CA8E0886829}">
  <ds:schemaRefs/>
</ds:datastoreItem>
</file>

<file path=customXml/itemProps12.xml><?xml version="1.0" encoding="utf-8"?>
<ds:datastoreItem xmlns:ds="http://schemas.openxmlformats.org/officeDocument/2006/customXml" ds:itemID="{252064E9-798B-4050-9CC4-F865C218C221}">
  <ds:schemaRefs/>
</ds:datastoreItem>
</file>

<file path=customXml/itemProps13.xml><?xml version="1.0" encoding="utf-8"?>
<ds:datastoreItem xmlns:ds="http://schemas.openxmlformats.org/officeDocument/2006/customXml" ds:itemID="{B6D6EA12-27D9-4AC4-9F74-834A73751CCF}">
  <ds:schemaRefs/>
</ds:datastoreItem>
</file>

<file path=customXml/itemProps14.xml><?xml version="1.0" encoding="utf-8"?>
<ds:datastoreItem xmlns:ds="http://schemas.openxmlformats.org/officeDocument/2006/customXml" ds:itemID="{EF79281F-643B-4BDD-B6A0-A963F8469FB7}">
  <ds:schemaRefs/>
</ds:datastoreItem>
</file>

<file path=customXml/itemProps15.xml><?xml version="1.0" encoding="utf-8"?>
<ds:datastoreItem xmlns:ds="http://schemas.openxmlformats.org/officeDocument/2006/customXml" ds:itemID="{08C84C16-3955-42B6-8FB6-847B9A0D85D9}">
  <ds:schemaRefs/>
</ds:datastoreItem>
</file>

<file path=customXml/itemProps16.xml><?xml version="1.0" encoding="utf-8"?>
<ds:datastoreItem xmlns:ds="http://schemas.openxmlformats.org/officeDocument/2006/customXml" ds:itemID="{50C6C267-195D-45EB-ACC1-676638286C12}">
  <ds:schemaRefs/>
</ds:datastoreItem>
</file>

<file path=customXml/itemProps17.xml><?xml version="1.0" encoding="utf-8"?>
<ds:datastoreItem xmlns:ds="http://schemas.openxmlformats.org/officeDocument/2006/customXml" ds:itemID="{0697BA37-4805-404D-A485-77ECDAEA53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Bricks</vt:lpstr>
      <vt:lpstr>Week Clu</vt:lpstr>
      <vt:lpstr>Amount</vt:lpstr>
      <vt:lpstr>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Tamizhan</dc:creator>
  <cp:lastModifiedBy>Mr. Tamizhan</cp:lastModifiedBy>
  <dcterms:created xsi:type="dcterms:W3CDTF">2024-10-22T10:02:31Z</dcterms:created>
  <dcterms:modified xsi:type="dcterms:W3CDTF">2025-05-16T10:05:24Z</dcterms:modified>
</cp:coreProperties>
</file>